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ty\ASD Systems\"/>
    </mc:Choice>
  </mc:AlternateContent>
  <xr:revisionPtr revIDLastSave="0" documentId="8_{6AE73642-CE3B-4A4C-A870-BD2098FB65D2}" xr6:coauthVersionLast="47" xr6:coauthVersionMax="47" xr10:uidLastSave="{00000000-0000-0000-0000-000000000000}"/>
  <bookViews>
    <workbookView xWindow="-108" yWindow="-108" windowWidth="23256" windowHeight="12456" xr2:uid="{EA4F0915-B49F-456A-8AB5-B13DF859899B}"/>
  </bookViews>
  <sheets>
    <sheet name="BOM" sheetId="2" r:id="rId1"/>
    <sheet name="Arkusz1" sheetId="1" r:id="rId2"/>
  </sheets>
  <definedNames>
    <definedName name="_xlnm._FilterDatabase" localSheetId="0" hidden="1">BOM!$A$1:$M$1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89" i="2" l="1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<sst xmlns="http://schemas.openxmlformats.org/spreadsheetml/2006/main" count="553" uniqueCount="309">
  <si>
    <t>Poziom  BOM</t>
  </si>
  <si>
    <t>Stanowisko Pracy</t>
  </si>
  <si>
    <t>Nazwa Głównego Modułu (Sub-montaż)</t>
  </si>
  <si>
    <t>Nazwa Komponentu</t>
  </si>
  <si>
    <t>Typ (Make/Buy)</t>
  </si>
  <si>
    <t>Ilość szt. na 1 automat</t>
  </si>
  <si>
    <t>Lead Time [dni]</t>
  </si>
  <si>
    <t>MOQ</t>
  </si>
  <si>
    <t>Stock Min. (ROP)* [szt./kpl./mb]</t>
  </si>
  <si>
    <t>Stock Prop. (Docelowy) [szt./kpl./mb]</t>
  </si>
  <si>
    <t>Estymowany Koszt Jedn. [PLN]</t>
  </si>
  <si>
    <t>Estymwoany Koszt Magazynu [PLN]</t>
  </si>
  <si>
    <t>Krótki Opis / Uwagi</t>
  </si>
  <si>
    <t>1.01.1</t>
  </si>
  <si>
    <t>STANOWISKO 1</t>
  </si>
  <si>
    <t>Korpus główny (Rama nośna)</t>
  </si>
  <si>
    <t>Profile / Formaty blaszane cokołu</t>
  </si>
  <si>
    <t>Make</t>
  </si>
  <si>
    <t>Surowiec cięty i gięty wewnętrznie. Niska partia produkcyjna ze względu na gabaryt.</t>
  </si>
  <si>
    <t>1.01.2</t>
  </si>
  <si>
    <t>Stopki poziomujące przegubowe</t>
  </si>
  <si>
    <t>Buy</t>
  </si>
  <si>
    <t>Komponent handlowy (COTS). Stock na ok. 10-30 maszyn.</t>
  </si>
  <si>
    <t>1.01.3</t>
  </si>
  <si>
    <t>Nakrętki wciskane (PEM) / zgrzewane</t>
  </si>
  <si>
    <t>Klasa C. Aplikowane pod gwinty stopek przed lakiernią.</t>
  </si>
  <si>
    <t>1.02.1</t>
  </si>
  <si>
    <t>Poszycie ścian bocznych (L+P)</t>
  </si>
  <si>
    <t>Duży gabaryt, lakierowane proszkowo. Produkowane w partiach pod konkretne zlecenia.</t>
  </si>
  <si>
    <t>1.02.2</t>
  </si>
  <si>
    <t>Usztywnienia wewnętrzne poszycia</t>
  </si>
  <si>
    <t>Zgrzewane do poszycia. Łatwiejsze w magazynowaniu (można sztaplować).</t>
  </si>
  <si>
    <t>1.02.3</t>
  </si>
  <si>
    <t>Trzpienie i nakrętki (PEM) ścienne</t>
  </si>
  <si>
    <t>Klasa C. System Kanban (zarządzane wagowo na gnieździe pras).</t>
  </si>
  <si>
    <t>1.03.1</t>
  </si>
  <si>
    <t>Panele ścienne tylne (Plecy)</t>
  </si>
  <si>
    <t>Dzielone na dwie sekcje dla ergonomii montażu i lepszego nestingu na laserze.</t>
  </si>
  <si>
    <t>1.03.2</t>
  </si>
  <si>
    <t>Kratki wentylacyjne z filtrem</t>
  </si>
  <si>
    <t>Osłony standardowe, kupowane u dystrybutorów elektrotechniki.</t>
  </si>
  <si>
    <t>1.04.1</t>
  </si>
  <si>
    <t>Pokrywa z blachy (Dach)</t>
  </si>
  <si>
    <t>Gabaryt. Utrzymywany niski zapas, zlecany na laser równolegle z cokołem.</t>
  </si>
  <si>
    <t>1.04.2</t>
  </si>
  <si>
    <t>Uszczelki krawędziowe (EPDM)</t>
  </si>
  <si>
    <t>Kupowane w szpulach (mb), docinane bezpośrednio na stanowisku One Piece Flow.</t>
  </si>
  <si>
    <t>1.05.1</t>
  </si>
  <si>
    <t>Dolne i górne jarzmo łożyska</t>
  </si>
  <si>
    <t>Element krytyczny wymiarowo (wymaga dokładnego gięcia/frezowania). Wyższy LT ze względu na reżim jakościowy.</t>
  </si>
  <si>
    <t>1.05.2</t>
  </si>
  <si>
    <t>Wsporniki silnika i przekładni</t>
  </si>
  <si>
    <t>Małe formatki konstrukcyjne.</t>
  </si>
  <si>
    <t>1.06.1</t>
  </si>
  <si>
    <t>Śruby, podkładki, nakrętki (klasa 8.8)</t>
  </si>
  <si>
    <t>Klasa C. Śruby kołnierzowe ząbkowane (eliminują konieczność stosowania podkładek sprężystych).</t>
  </si>
  <si>
    <t>1.06.2</t>
  </si>
  <si>
    <t>Nity zrywalne / Nito-nakrętki</t>
  </si>
  <si>
    <t>Klasa C. Szybki montaż jednostronny narzędziem pneumatycznym.</t>
  </si>
  <si>
    <t>2.01.1</t>
  </si>
  <si>
    <t>STANOWISKO 2</t>
  </si>
  <si>
    <t>Moduł bębna obrotowego (Karuzela)</t>
  </si>
  <si>
    <t>Wał centralny bębna</t>
  </si>
  <si>
    <t>Element bazowy osi obrotu. Wysoki reżim współosiowości i prostoliniowości (toczenie + pasowanie).</t>
  </si>
  <si>
    <t>2.01.2</t>
  </si>
  <si>
    <t>Tarcza górna / dolna bębna</t>
  </si>
  <si>
    <t>Wycinane laserowo z dużego formatu blachy, zapewniają sztywność konstrukcji obrotowej.</t>
  </si>
  <si>
    <t>2.02.1</t>
  </si>
  <si>
    <t>Półki / Segmenty robocze bębna</t>
  </si>
  <si>
    <t>Standardowy wariant półek podziałowych (zależnie od konfiguracji rzędów w automacie D1080/D540).</t>
  </si>
  <si>
    <t>2.02.2</t>
  </si>
  <si>
    <t>Przegrody komór bębna</t>
  </si>
  <si>
    <t>Wsuwane lub zatrzaskowe elementy dzielące półki na mniejsze segmenty (dla drobnych artykułów).</t>
  </si>
  <si>
    <t>2.03.1</t>
  </si>
  <si>
    <t>Łożyska obrotowe główne (górne i dolne)</t>
  </si>
  <si>
    <t>Komponent handlowy (COTS). Przenoszą obciążenie promieniowe i osiowe całego bębna.</t>
  </si>
  <si>
    <t>2.03.2</t>
  </si>
  <si>
    <t>Koło zębate / wieieniec napędowy bębna</t>
  </si>
  <si>
    <t>Integrowane z dolną tarczą lub montowane jako oddzielny element przełożenia napędu karuzeli.</t>
  </si>
  <si>
    <t>2.04.1</t>
  </si>
  <si>
    <t>Tuleje dystansowe i elementy osiowe</t>
  </si>
  <si>
    <t>Detale tokarskie do pozycjonowania tarcz i półek na wale centralnym.</t>
  </si>
  <si>
    <t>2.05.1</t>
  </si>
  <si>
    <t>Śruby i nakrętki konstrukcyjne (klasa 8.8)</t>
  </si>
  <si>
    <t>Klasa C. Połączenia skręcane modułu karuzeli (system Kanban gniazdowy).</t>
  </si>
  <si>
    <t>2.05.2</t>
  </si>
  <si>
    <t>Nitonakrętki do mocowań wewnętrznych</t>
  </si>
  <si>
    <t>Klasa C. Zapewniają gwinty montażowe w cienkościennych profilach bębna.</t>
  </si>
  <si>
    <t>3.01.1</t>
  </si>
  <si>
    <t>STANOWISKO 3</t>
  </si>
  <si>
    <t>Układ napędowy bębna</t>
  </si>
  <si>
    <t>Silnik krokowy / serwomotor główny</t>
  </si>
  <si>
    <t>Napęd precyzyjny z enkoderem (komponent handlowy COTS o dłuższym LT od dostawcy).</t>
  </si>
  <si>
    <t>3.01.2</t>
  </si>
  <si>
    <t>Reduktor ślimakowy lub planetarny</t>
  </si>
  <si>
    <t>Sprzężony bezpośrednio z silnikiem. Redukcja obrotów i zwiększenie momentu obrotowego karuzeli.</t>
  </si>
  <si>
    <t>3.01.3</t>
  </si>
  <si>
    <t>Płyta montażowa napędu</t>
  </si>
  <si>
    <t>Blacha gięta i frezowana z fasolkami do naciągu i pozycjonowania zespołu napędowego.</t>
  </si>
  <si>
    <t>3.02.1</t>
  </si>
  <si>
    <t>Koło zębate małe (na wałek reduktora)</t>
  </si>
  <si>
    <t>Hartowane koło zębate pasujące do wieńca bębna (Moduł 2.3.2).</t>
  </si>
  <si>
    <t>3.02.2</t>
  </si>
  <si>
    <t>Tuleja zaciskowa / Pierścień stabur</t>
  </si>
  <si>
    <t>Bezluzowe połączenie wał-piasta do mocowania koła zębatego.</t>
  </si>
  <si>
    <t>3.03.1</t>
  </si>
  <si>
    <t>Czujnik bazowania / Indukcyjny HOME</t>
  </si>
  <si>
    <t>Pozycjonowanie zerowe bębna i kontrola pozycji referencyjnej.</t>
  </si>
  <si>
    <t>3.03.2</t>
  </si>
  <si>
    <t>Enkoder obrotowy dodatkowy (opcja)</t>
  </si>
  <si>
    <t>Opcjonalny element bezpieczeństwa i precyzji pozycjonowania komór (wersja zaawansowana).</t>
  </si>
  <si>
    <t>3.04.1</t>
  </si>
  <si>
    <t>Wiązka kablowa silnika i enkoderów</t>
  </si>
  <si>
    <t>Konfekcjonowane przewody ekranowane (cięcia, zarabianie wtyczek).</t>
  </si>
  <si>
    <t>3.05.1</t>
  </si>
  <si>
    <t>Śruby, podkładki montażowe napędu</t>
  </si>
  <si>
    <t>Klasa C. Śruby o podwyższonej wytrzymałości (10.9) do mocowania silnika i przekładni.</t>
  </si>
  <si>
    <t>4.1.1</t>
  </si>
  <si>
    <t>STANOWISKO 4</t>
  </si>
  <si>
    <t>Skrzydło drzwiowe z systemem klapek</t>
  </si>
  <si>
    <t>Rama główna drzwi (profil skrzydła)</t>
  </si>
  <si>
    <t>Konstrukcja spawana/skręcana z profili lub giętych blach, stanowiąca frontową fasadę maszyny.</t>
  </si>
  <si>
    <t>4.1.2</t>
  </si>
  <si>
    <t>Zawiasy drzwiowe przemysłowe</t>
  </si>
  <si>
    <t>Solidne zawiasy przemysłowe utrzymujące masę pełnego skrzydła drzwiowego.</t>
  </si>
  <si>
    <t>4.1.3</t>
  </si>
  <si>
    <t>Zamek główny drzwi serwisowych</t>
  </si>
  <si>
    <t>Zamek ryglowany kluczem serwisowym (dla operatora uzupełniającego towary).</t>
  </si>
  <si>
    <t>4.2.1</t>
  </si>
  <si>
    <t>Klapki wrzutowe / wydawcze (Fronty)</t>
  </si>
  <si>
    <t>Małe drzwiczki komór w bębnie. Wycinane laserowo, gięte i lakierowane (wysoka powtarzalność).</t>
  </si>
  <si>
    <t>4.2.2</t>
  </si>
  <si>
    <t>Ośki / Sworznie zawiasów klapek</t>
  </si>
  <si>
    <t>Precyzyjne pręty/sztyfty montażowe łączące klapkę z ramą drzwi.</t>
  </si>
  <si>
    <t>4.2.3</t>
  </si>
  <si>
    <t>Sprężyny torsowe / zwrotne klapek</t>
  </si>
  <si>
    <t>Zapewniają samoczynne domykanie klapek po zwolnieniu blokady.</t>
  </si>
  <si>
    <t>4.3.1</t>
  </si>
  <si>
    <t>Okienka wizyjne / policarbonowe (opcja)</t>
  </si>
  <si>
    <t>Przezroczyste wstawki z tworzywa sztucznego do podglądu zawartości komór (jeśli występują).</t>
  </si>
  <si>
    <t>4.4.1</t>
  </si>
  <si>
    <t>Uszczelki gumowe wokół klapek</t>
  </si>
  <si>
    <t>~18 mb.</t>
  </si>
  <si>
    <t>Profil uszczelniający redukujący hałas i zabezpieczający przed kurzem.</t>
  </si>
  <si>
    <t>4.5.1</t>
  </si>
  <si>
    <t>Śruby, nity i elementy złączne klapek</t>
  </si>
  <si>
    <t>~180</t>
  </si>
  <si>
    <t>Klasa C. Drobny hardware montowany przy zawiasach i ogranicznikach.</t>
  </si>
  <si>
    <t>5.1.1</t>
  </si>
  <si>
    <t>STANOWISKO 5</t>
  </si>
  <si>
    <t>System ryglowania i siłowników</t>
  </si>
  <si>
    <t>Elektromagnesy blokujące / Rygle solenoidowe</t>
  </si>
  <si>
    <t>Kluczowy element wykonawczy kontroli dostępu. Każda klapka posiada własny solenoid blokujący.</t>
  </si>
  <si>
    <t>5.1.2</t>
  </si>
  <si>
    <t>Płytki montażowe rygli / Wsporniki</t>
  </si>
  <si>
    <t>Detale z blachy giętej, pozycjonujące elektromagnesy względem języczków klapek.</t>
  </si>
  <si>
    <t>5.2.1</t>
  </si>
  <si>
    <t>Języczki / Haki blokujące (na klapkach)</t>
  </si>
  <si>
    <t>Wycinane laserowo elementy współpracujące bezpośrednio z trzpieniem elektromagnesu.</t>
  </si>
  <si>
    <t>5.3.1</t>
  </si>
  <si>
    <t>Sprężyny powrotne rygli / trzpieni</t>
  </si>
  <si>
    <t>Zapewniają pewne powrócenie blokady do pozycji zamkniętej po zaniku impulsu.</t>
  </si>
  <si>
    <t>5.4.1</t>
  </si>
  <si>
    <t>Mikroprzełączniki stanu klapek (otwarta/zamknięta)</t>
  </si>
  <si>
    <t>Sensory informujące elektronikę, czy klapka została faktycznie domknięta przez użytkownika.</t>
  </si>
  <si>
    <t>5.5.1</t>
  </si>
  <si>
    <t>Wiązka sygnałowa rygli i czujników</t>
  </si>
  <si>
    <t>Rozbudowana, wielożyłowa wiązka łącząca dziesiątki elektromagnesów z główną płytą sterującą (PCB).</t>
  </si>
  <si>
    <t>5.6.1</t>
  </si>
  <si>
    <t>Śruby, wkręty i elementy złączne mechanizmu</t>
  </si>
  <si>
    <t>~220</t>
  </si>
  <si>
    <t>Klasa C. Drobny hardware do montażu elektromagnesów i czujników (system Kanban).</t>
  </si>
  <si>
    <t>6.1.1</t>
  </si>
  <si>
    <t>STANOWISKO 6</t>
  </si>
  <si>
    <t>Interfejs HMI i identyfikacja</t>
  </si>
  <si>
    <t>Przemysłowy panel dotykowy HMI (ekran LCD 15.6")</t>
  </si>
  <si>
    <t>Główny ekran interaktywny dla użytkownika (zakup u wyspecjalizowanego dostawcy komponentów IPC).</t>
  </si>
  <si>
    <t>6.1.2</t>
  </si>
  <si>
    <t>Komputer sterujący / SBC (Jednostka centralna HMI)</t>
  </si>
  <si>
    <t>Jednostka obliczeniowa zarządzająca systemem operacyjnym, aplikacją vendingową i komunikacją.</t>
  </si>
  <si>
    <t>6.2.1</t>
  </si>
  <si>
    <t>Skaner RFID / Czytnik kart pracowniczych</t>
  </si>
  <si>
    <t>Moduł identyfikacji użytkowników (autoryzacja pobrań narzędzi/materiałów).</t>
  </si>
  <si>
    <t>6.2.2</t>
  </si>
  <si>
    <t>Czytnik kodów kreskowych / QR (opcja)</t>
  </si>
  <si>
    <t>Dodatkowe narzędzie skanujące (np. do zwrotów lub obsługi towarów kodowanych).</t>
  </si>
  <si>
    <t>6.3.1</t>
  </si>
  <si>
    <t>Panel czołowy / Obudowa HMI (blacha/tworzywo)</t>
  </si>
  <si>
    <t>Element konstrukcyjny integrujący ekran, czytniki i wyłącznik na froncie automatu.</t>
  </si>
  <si>
    <t>6.3.2</t>
  </si>
  <si>
    <t>Szybka zabezpieczająca ekran (poliwęglan/szkło hartowane)</t>
  </si>
  <si>
    <t>Ochrona matrycy dotykowej przed uszkodzeniami mechanicznymi i wandalizmem.</t>
  </si>
  <si>
    <t>6.4.1</t>
  </si>
  <si>
    <t>Wiązka komunikacyjna i zasilająca HMI (USB/HDMI/Ethernet)</t>
  </si>
  <si>
    <t>Zestaw przewodów łączących elementy interfejsu z główną elektroniką i zasilaczem.</t>
  </si>
  <si>
    <t>6.5.1</t>
  </si>
  <si>
    <t>Śruby, dystanse i elementy złączne HMI</t>
  </si>
  <si>
    <t>~20</t>
  </si>
  <si>
    <t>Klasa C. Drobny hardware montażowy do bezpiecznego osadzenia elektroniki w obudowie.</t>
  </si>
  <si>
    <t>7.1.1</t>
  </si>
  <si>
    <t>STANOWISKO 7</t>
  </si>
  <si>
    <t>Główna elektronika sterująca (PCB)</t>
  </si>
  <si>
    <t>Główna płyta sterująca PCB (Motherboard)</t>
  </si>
  <si>
    <t>Autorska lub kontraktowa płytka mikrokontrolera zarządzająca logiką I/O (zlecana do montażu SMT).</t>
  </si>
  <si>
    <t>7.1.2</t>
  </si>
  <si>
    <t>Płyty ekspansji wyjść / sterowniki rygli (PCB)</t>
  </si>
  <si>
    <t>Moduły rozszerzające liczbę portów wyjściowych do wysterowania dziesiątek elektromagnesów klapek.</t>
  </si>
  <si>
    <t>7.2.1</t>
  </si>
  <si>
    <t>Mikroprocesor / Główny układ logiczny (IC)</t>
  </si>
  <si>
    <t>Główny chip procesora montowany na PCB (komponent krytyczny o dłuższym łańcuchu dostaw).</t>
  </si>
  <si>
    <t>7.2.2</t>
  </si>
  <si>
    <t>Układy scalone sterowników tranzystorowych</t>
  </si>
  <si>
    <t>Kluczowe komponenty przełączające prąd dla elektromagnesów i silników krokowych.</t>
  </si>
  <si>
    <t>7.3.1</t>
  </si>
  <si>
    <t>Obudowa / Pudełko na elektronikę (montaż na szynę DIN)</t>
  </si>
  <si>
    <t>Osłona izolacyjna zabezpieczająca płytki PCB przed zwarciami i kurzem wewnątrz korpusu.</t>
  </si>
  <si>
    <t>7.4.1</t>
  </si>
  <si>
    <t>Listwy zaciskowe i złącza śrubowe PCB</t>
  </si>
  <si>
    <t>~12</t>
  </si>
  <si>
    <t>Złącza do wpinania wiązek kablowych sygnałowych i zasilających bezpośrednio na płytkach.</t>
  </si>
  <si>
    <t>7.5.1</t>
  </si>
  <si>
    <t>Płaska taśma połączeniowa / Kable sygnałowe PCB</t>
  </si>
  <si>
    <t>Krótkie wiązki wewnętrzne łączące płytę główną z modułami ekspansji.</t>
  </si>
  <si>
    <t>7.6.1</t>
  </si>
  <si>
    <t>Dystanse montażowe i kołki plastikowe PCB</t>
  </si>
  <si>
    <t>~16</t>
  </si>
  <si>
    <t>Klasa C. Izolacyjne elementy montażowe do bezpiecznego osadzenia płytek w obudowie.</t>
  </si>
  <si>
    <t>8.1.1</t>
  </si>
  <si>
    <t>STANOWISKO 8</t>
  </si>
  <si>
    <t>Układ zasilania (w tym UPS)</t>
  </si>
  <si>
    <t>Główny zasilacze impulsowy (24V / 12V)</t>
  </si>
  <si>
    <t>Przemysłowy zasilacz montowany na szynę DIN, dostarczający stabilne napięcie do elektroniki i rygli.</t>
  </si>
  <si>
    <t>8.1.2</t>
  </si>
  <si>
    <t>Moduł zasilania awaryjnego (UPS / buforowy)</t>
  </si>
  <si>
    <t>Układ gwarantujący podtrzymanie pracy maszyny i awaryjne wydanie towaru w przypadku zaniku sieci.</t>
  </si>
  <si>
    <t>8.1.3</t>
  </si>
  <si>
    <t>Akumulator żelowy / AGM (12V)</t>
  </si>
  <si>
    <t>Magazyn energii współpracujący z modułem UPS (komponent o określonej żywotności).</t>
  </si>
  <si>
    <t>8.2.1</t>
  </si>
  <si>
    <t>Główny wyłącznik nadprądowy (Eska / B10)</t>
  </si>
  <si>
    <t>Zabezpieczenie przeciwzwarciowe i przeciążeniowe na wejściu zasilania 230V AC.</t>
  </si>
  <si>
    <t>8.2.2</t>
  </si>
  <si>
    <t>Ogranicznik przepięć (SPD)</t>
  </si>
  <si>
    <t>Ochrona wrażliwej elektroniki i komputera HMI przed skokami napięcia w sieci.</t>
  </si>
  <si>
    <t>8.3.1</t>
  </si>
  <si>
    <t>Płyta montażowa zasilania (blacha montażowa)</t>
  </si>
  <si>
    <t>Perforowana płyta podzespołów elektrycznych montowana wewnątrz dolnej lub tylnej części korpusu.</t>
  </si>
  <si>
    <t>8.4.1</t>
  </si>
  <si>
    <t>Szyna DIN oraz korytka kablowe grzebieniowe</t>
  </si>
  <si>
    <t>1 kpl.</t>
  </si>
  <si>
    <t>Elementy organizacyjne przestrzeni elektrycznej wewnątrz szafy zasilającej.</t>
  </si>
  <si>
    <t>8.5.1</t>
  </si>
  <si>
    <t>Wiązka zasilająca 230V / 24V DC</t>
  </si>
  <si>
    <t>Konfekcjonowane przewody zasilające o odpowiednich przekrojach, zarabiane końcówkami tulejkowymi.</t>
  </si>
  <si>
    <t>8.6.1</t>
  </si>
  <si>
    <t>Drobny hardware elektryczny (złączki WAGO, opaski)</t>
  </si>
  <si>
    <t>Klasa C. Akcesoria montażowe do spięcia rozdzielnicy elektrycznej.</t>
  </si>
  <si>
    <t>9.1.1</t>
  </si>
  <si>
    <t>STANOWISKO 9</t>
  </si>
  <si>
    <t>Wiązki kablowe i sensoryka</t>
  </si>
  <si>
    <t>Główna magistrala komunikacyjna (CAN/RS485/USB)</t>
  </si>
  <si>
    <t>Konfekcjonowany przewód transmisyjny łączący elektronikę z modułami wykonawczymi i HMI.</t>
  </si>
  <si>
    <t>9.1.2</t>
  </si>
  <si>
    <t>Wiązka zasilająca główne podzespoły</t>
  </si>
  <si>
    <t>Rozprowadzenie napięcia 24V/12V z bloku zasilaczy do poszczególnych stref maszyny.</t>
  </si>
  <si>
    <t>9.2.1</t>
  </si>
  <si>
    <t>Czujnik otwarcia drzwi serwisowych (krańcówka)</t>
  </si>
  <si>
    <t>Zabezpieczenie bezpieczeństwa (interlock) odcinające zasilanie lub sygnalizujące otwarcie szafy.</t>
  </si>
  <si>
    <t>9.2.2</t>
  </si>
  <si>
    <t>Czujnik temperatury / wilgotności wnętrza</t>
  </si>
  <si>
    <t>Monitorowanie warunków środowiskowych wewnątrz automatu (szczególnie ważne przy elektronice).</t>
  </si>
  <si>
    <t>9.2.3</t>
  </si>
  <si>
    <t>Czujnik optyczny / pojemnościowy detekcji produktu</t>
  </si>
  <si>
    <t>Weryfikacja poprawnego wydania towaru z komory (opcjonalny system potwierdzenia dropu).</t>
  </si>
  <si>
    <t>9.3.1</t>
  </si>
  <si>
    <t>Przewody w osłonach elastycznych (prowadniki)</t>
  </si>
  <si>
    <t>~6 mb.</t>
  </si>
  <si>
    <t>Odporne na wielokrotne zginanie przewody w strefie ruchomej (jeśli wymagane).</t>
  </si>
  <si>
    <t>9.4.1</t>
  </si>
  <si>
    <t>Oslony kablowe, peszle i spirale ochronne</t>
  </si>
  <si>
    <t>~10 mb.</t>
  </si>
  <si>
    <t>Zabezpieczenie wiązek przed przetarciem o ostre krawędzie blach korpusu.</t>
  </si>
  <si>
    <t>9.5.1</t>
  </si>
  <si>
    <t>Opaski kablowe, dławiki PG i akcesoria mocujące</t>
  </si>
  <si>
    <t>Klasa C. Elementy montażowe do uporządkowania trasy kablowej wewnątrz maszyny.</t>
  </si>
  <si>
    <t>10.1.1</t>
  </si>
  <si>
    <t>STANOWISKO 10</t>
  </si>
  <si>
    <t>Pakowanie i logistyka</t>
  </si>
  <si>
    <t>Paleta drewnio-pochodna przemysłowa (dostosowana)</t>
  </si>
  <si>
    <t>Niestandardowa lub standardowa paleta o wzmocnionej konstrukcji, zdolna utrzymać ciężar automatu.</t>
  </si>
  <si>
    <t>10.2.1</t>
  </si>
  <si>
    <t>Profile styropianowe / narożniki ochronne</t>
  </si>
  <si>
    <t>Zabezpieczenie naroży i krawędzi maszyny przed uderzeniami w transporcie.</t>
  </si>
  <si>
    <t>10.2.2</t>
  </si>
  <si>
    <t>Kaptur z folii grubościennej / termokurczliwej</t>
  </si>
  <si>
    <t>Ochrona gotowego wyrobu przed wilgocią, kurzem i pyłem podczas magazynowania i transportu.</t>
  </si>
  <si>
    <t>10.3.1</t>
  </si>
  <si>
    <t>Pasy mocujące / taśma spinająca (PET/PP)</t>
  </si>
  <si>
    <t>~12 mb.</t>
  </si>
  <si>
    <t>Stabilizacja maszyny na palecie (przelicznik na metry bieżące zużyte na 1 sztukę).</t>
  </si>
  <si>
    <t>10.3.2</t>
  </si>
  <si>
    <t>Zapinki / klamry do taśm spinających</t>
  </si>
  <si>
    <t>Klasa C. Elementy łączące taśmy transportowe.</t>
  </si>
  <si>
    <t>10.4.1</t>
  </si>
  <si>
    <t>Etykieta logistyczna / Tabliczka znamionowa</t>
  </si>
  <si>
    <t>Drukowana wewnętrznie tabliczka znamionowa z numerem seryjnym, parametrami i CE.</t>
  </si>
  <si>
    <t>10.5.1</t>
  </si>
  <si>
    <t>Dokumentacja techniczno-ruchowa (DTR) w oprawie</t>
  </si>
  <si>
    <t>Papierowa instrukcja obsługi, paszport maszyny i deklaracja zgodności w koszulce ochronnej.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</si>
</sst>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Aptos Narrow"/>
      <family val="2"/>
      <charset val="238"/>
      <scheme val="minor"/>
    </font>
    <font>
      <b/>
      <sz val="10"/>
      <color rgb="FF1F1F1F"/>
      <name val="Aptos Narrow"/>
      <family val="2"/>
      <charset val="238"/>
      <scheme val="minor"/>
    </font>
    <font>
      <sz val="10"/>
      <color rgb="FF1F1F1F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49" fontId="3" fillId="2" borderId="1" xfId="1" applyNumberFormat="1" applyFont="1" applyFill="1" applyBorder="1" applyAlignment="1">
      <alignment horizontal="center" vertical="center" wrapText="1" readingOrder="1"/>
    </xf>
    <xf numFmtId="0" fontId="3" fillId="2" borderId="1" xfId="1" applyFont="1" applyFill="1" applyBorder="1" applyAlignment="1">
      <alignment horizontal="center" vertical="center" wrapText="1" readingOrder="1"/>
    </xf>
    <xf numFmtId="0" fontId="1" fillId="0" borderId="0" xfId="1" applyFont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 wrapText="1" readingOrder="1"/>
    </xf>
    <xf numFmtId="49" fontId="3" fillId="0" borderId="1" xfId="1" applyNumberFormat="1" applyFont="1" applyBorder="1" applyAlignment="1">
      <alignment horizontal="center" vertical="center" wrapText="1" readingOrder="1"/>
    </xf>
    <xf numFmtId="0" fontId="4" fillId="0" borderId="1" xfId="1" applyFont="1" applyBorder="1" applyAlignment="1">
      <alignment horizontal="center" vertical="center" wrapText="1" readingOrder="1"/>
    </xf>
    <xf numFmtId="49" fontId="2" fillId="0" borderId="0" xfId="1" applyNumberFormat="1" applyAlignment="1">
      <alignment horizontal="center" vertical="center"/>
    </xf>
    <xf numFmtId="0" fontId="3" fillId="0" borderId="1" xfId="1" applyFont="1" applyBorder="1" applyAlignment="1">
      <alignment horizontal="center" vertical="center" wrapText="1" readingOrder="1"/>
    </xf>
    <xf numFmtId="2" fontId="1" fillId="0" borderId="0" xfId="1" applyNumberFormat="1" applyFont="1" applyAlignment="1">
      <alignment horizontal="center" vertical="center"/>
    </xf>
  </cellXfs>
  <cellStyles count="2">
    <cellStyle name="Normalny" xfId="0" builtinId="0"/>
    <cellStyle name="Normalny 2" xfId="1" xr:uid="{81320B88-C875-4D1F-AF69-D45A9C4DCF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535AB-3CD8-4661-9E8B-DB79AFFC369E}">
  <sheetPr>
    <tabColor rgb="FFFF0000"/>
  </sheetPr>
  <dimension ref="A1:M89"/>
  <sheetViews>
    <sheetView tabSelected="1" zoomScale="70" zoomScaleNormal="70" workbookViewId="0">
      <pane ySplit="1" topLeftCell="A2" activePane="bottomLeft" state="frozen"/>
      <selection pane="bottomLeft" activeCell="C3" sqref="C3"/>
    </sheetView>
  </sheetViews>
  <sheetFormatPr defaultColWidth="20.44140625" defaultRowHeight="13.8" x14ac:dyDescent="0.3"/>
  <cols>
    <col min="1" max="1" width="14.109375" style="7" bestFit="1" customWidth="1"/>
    <col min="2" max="2" width="18" style="7" bestFit="1" customWidth="1"/>
    <col min="3" max="3" width="35.6640625" style="9" bestFit="1" customWidth="1"/>
    <col min="4" max="4" width="25.6640625" style="3" bestFit="1" customWidth="1"/>
    <col min="5" max="5" width="21.21875" style="3" bestFit="1" customWidth="1"/>
    <col min="6" max="6" width="19.6640625" style="3" bestFit="1" customWidth="1"/>
    <col min="7" max="8" width="21.33203125" style="3" customWidth="1"/>
    <col min="9" max="9" width="23.44140625" style="3" bestFit="1" customWidth="1"/>
    <col min="10" max="10" width="18.88671875" style="3" bestFit="1" customWidth="1"/>
    <col min="11" max="13" width="24.5546875" style="3" bestFit="1" customWidth="1"/>
    <col min="14" max="16384" width="20.44140625" style="3"/>
  </cols>
  <sheetData>
    <row r="1" spans="1:13" ht="42" thickBo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55.8" thickBot="1" x14ac:dyDescent="0.35">
      <c r="A2" s="4" t="s">
        <v>13</v>
      </c>
      <c r="B2" s="4" t="s">
        <v>14</v>
      </c>
      <c r="C2" s="5" t="s">
        <v>15</v>
      </c>
      <c r="D2" s="6" t="s">
        <v>16</v>
      </c>
      <c r="E2" s="6" t="s">
        <v>17</v>
      </c>
      <c r="F2" s="6">
        <v>1</v>
      </c>
      <c r="G2" s="6">
        <v>5</v>
      </c>
      <c r="H2" s="6">
        <v>20</v>
      </c>
      <c r="I2" s="6">
        <v>5</v>
      </c>
      <c r="J2" s="6">
        <v>10</v>
      </c>
      <c r="K2" s="6">
        <v>350</v>
      </c>
      <c r="L2" s="6">
        <f>K2*J2</f>
        <v>3500</v>
      </c>
      <c r="M2" s="6" t="s">
        <v>18</v>
      </c>
    </row>
    <row r="3" spans="1:13" ht="28.2" thickBot="1" x14ac:dyDescent="0.35">
      <c r="A3" s="4" t="s">
        <v>19</v>
      </c>
      <c r="B3" s="4" t="s">
        <v>14</v>
      </c>
      <c r="C3" s="5" t="s">
        <v>15</v>
      </c>
      <c r="D3" s="6" t="s">
        <v>20</v>
      </c>
      <c r="E3" s="6" t="s">
        <v>21</v>
      </c>
      <c r="F3" s="6">
        <v>4</v>
      </c>
      <c r="G3" s="6">
        <v>3</v>
      </c>
      <c r="H3" s="6">
        <v>20</v>
      </c>
      <c r="I3" s="6">
        <v>40</v>
      </c>
      <c r="J3" s="6">
        <v>120</v>
      </c>
      <c r="K3" s="6">
        <v>18</v>
      </c>
      <c r="L3" s="6">
        <f t="shared" ref="L3:L15" si="0">K3*J3</f>
        <v>2160</v>
      </c>
      <c r="M3" s="6" t="s">
        <v>22</v>
      </c>
    </row>
    <row r="4" spans="1:13" ht="28.2" thickBot="1" x14ac:dyDescent="0.35">
      <c r="A4" s="4" t="s">
        <v>23</v>
      </c>
      <c r="B4" s="4" t="s">
        <v>14</v>
      </c>
      <c r="C4" s="5" t="s">
        <v>15</v>
      </c>
      <c r="D4" s="6" t="s">
        <v>24</v>
      </c>
      <c r="E4" s="6" t="s">
        <v>21</v>
      </c>
      <c r="F4" s="6">
        <v>4</v>
      </c>
      <c r="G4" s="6">
        <v>2</v>
      </c>
      <c r="H4" s="6">
        <v>20</v>
      </c>
      <c r="I4" s="6">
        <v>200</v>
      </c>
      <c r="J4" s="6">
        <v>600</v>
      </c>
      <c r="K4" s="6">
        <v>1.2</v>
      </c>
      <c r="L4" s="6">
        <f t="shared" si="0"/>
        <v>720</v>
      </c>
      <c r="M4" s="6" t="s">
        <v>25</v>
      </c>
    </row>
    <row r="5" spans="1:13" ht="55.8" thickBot="1" x14ac:dyDescent="0.35">
      <c r="A5" s="4" t="s">
        <v>26</v>
      </c>
      <c r="B5" s="4" t="s">
        <v>14</v>
      </c>
      <c r="C5" s="5" t="s">
        <v>15</v>
      </c>
      <c r="D5" s="6" t="s">
        <v>27</v>
      </c>
      <c r="E5" s="6" t="s">
        <v>17</v>
      </c>
      <c r="F5" s="6">
        <v>2</v>
      </c>
      <c r="G5" s="6">
        <v>5</v>
      </c>
      <c r="H5" s="6">
        <v>20</v>
      </c>
      <c r="I5" s="6">
        <v>10</v>
      </c>
      <c r="J5" s="6">
        <v>20</v>
      </c>
      <c r="K5" s="6">
        <v>160</v>
      </c>
      <c r="L5" s="6">
        <f t="shared" si="0"/>
        <v>3200</v>
      </c>
      <c r="M5" s="6" t="s">
        <v>28</v>
      </c>
    </row>
    <row r="6" spans="1:13" ht="42" thickBot="1" x14ac:dyDescent="0.35">
      <c r="A6" s="4" t="s">
        <v>29</v>
      </c>
      <c r="B6" s="4" t="s">
        <v>14</v>
      </c>
      <c r="C6" s="5" t="s">
        <v>15</v>
      </c>
      <c r="D6" s="6" t="s">
        <v>30</v>
      </c>
      <c r="E6" s="6" t="s">
        <v>17</v>
      </c>
      <c r="F6" s="6">
        <v>6</v>
      </c>
      <c r="G6" s="6">
        <v>4</v>
      </c>
      <c r="H6" s="6">
        <v>20</v>
      </c>
      <c r="I6" s="6">
        <v>30</v>
      </c>
      <c r="J6" s="6">
        <v>60</v>
      </c>
      <c r="K6" s="6">
        <v>22</v>
      </c>
      <c r="L6" s="6">
        <f t="shared" si="0"/>
        <v>1320</v>
      </c>
      <c r="M6" s="6" t="s">
        <v>31</v>
      </c>
    </row>
    <row r="7" spans="1:13" ht="42" thickBot="1" x14ac:dyDescent="0.35">
      <c r="A7" s="4" t="s">
        <v>32</v>
      </c>
      <c r="B7" s="4" t="s">
        <v>14</v>
      </c>
      <c r="C7" s="5" t="s">
        <v>15</v>
      </c>
      <c r="D7" s="6" t="s">
        <v>33</v>
      </c>
      <c r="E7" s="6" t="s">
        <v>21</v>
      </c>
      <c r="F7" s="6">
        <v>40</v>
      </c>
      <c r="G7" s="6">
        <v>2</v>
      </c>
      <c r="H7" s="6">
        <v>10</v>
      </c>
      <c r="I7" s="6">
        <v>1000</v>
      </c>
      <c r="J7" s="6">
        <v>3000</v>
      </c>
      <c r="K7" s="6">
        <v>0.45</v>
      </c>
      <c r="L7" s="6">
        <f t="shared" si="0"/>
        <v>1350</v>
      </c>
      <c r="M7" s="6" t="s">
        <v>34</v>
      </c>
    </row>
    <row r="8" spans="1:13" ht="42" thickBot="1" x14ac:dyDescent="0.35">
      <c r="A8" s="4" t="s">
        <v>35</v>
      </c>
      <c r="B8" s="4" t="s">
        <v>14</v>
      </c>
      <c r="C8" s="5" t="s">
        <v>15</v>
      </c>
      <c r="D8" s="6" t="s">
        <v>36</v>
      </c>
      <c r="E8" s="6" t="s">
        <v>17</v>
      </c>
      <c r="F8" s="6">
        <v>2</v>
      </c>
      <c r="G8" s="6">
        <v>5</v>
      </c>
      <c r="H8" s="6">
        <v>10</v>
      </c>
      <c r="I8" s="6">
        <v>10</v>
      </c>
      <c r="J8" s="6">
        <v>20</v>
      </c>
      <c r="K8" s="6">
        <v>90</v>
      </c>
      <c r="L8" s="6">
        <f t="shared" si="0"/>
        <v>1800</v>
      </c>
      <c r="M8" s="6" t="s">
        <v>37</v>
      </c>
    </row>
    <row r="9" spans="1:13" ht="42" thickBot="1" x14ac:dyDescent="0.35">
      <c r="A9" s="4" t="s">
        <v>38</v>
      </c>
      <c r="B9" s="4" t="s">
        <v>14</v>
      </c>
      <c r="C9" s="5" t="s">
        <v>15</v>
      </c>
      <c r="D9" s="6" t="s">
        <v>39</v>
      </c>
      <c r="E9" s="6" t="s">
        <v>21</v>
      </c>
      <c r="F9" s="6">
        <v>2</v>
      </c>
      <c r="G9" s="6">
        <v>4</v>
      </c>
      <c r="H9" s="6">
        <v>10</v>
      </c>
      <c r="I9" s="6">
        <v>20</v>
      </c>
      <c r="J9" s="6">
        <v>50</v>
      </c>
      <c r="K9" s="6">
        <v>28</v>
      </c>
      <c r="L9" s="6">
        <f t="shared" si="0"/>
        <v>1400</v>
      </c>
      <c r="M9" s="6" t="s">
        <v>40</v>
      </c>
    </row>
    <row r="10" spans="1:13" ht="42" thickBot="1" x14ac:dyDescent="0.35">
      <c r="A10" s="4" t="s">
        <v>41</v>
      </c>
      <c r="B10" s="4" t="s">
        <v>14</v>
      </c>
      <c r="C10" s="5" t="s">
        <v>15</v>
      </c>
      <c r="D10" s="6" t="s">
        <v>42</v>
      </c>
      <c r="E10" s="6" t="s">
        <v>17</v>
      </c>
      <c r="F10" s="6">
        <v>1</v>
      </c>
      <c r="G10" s="6">
        <v>5</v>
      </c>
      <c r="H10" s="6">
        <v>10</v>
      </c>
      <c r="I10" s="6">
        <v>5</v>
      </c>
      <c r="J10" s="6">
        <v>10</v>
      </c>
      <c r="K10" s="6">
        <v>130</v>
      </c>
      <c r="L10" s="6">
        <f t="shared" si="0"/>
        <v>1300</v>
      </c>
      <c r="M10" s="6" t="s">
        <v>43</v>
      </c>
    </row>
    <row r="11" spans="1:13" ht="42" thickBot="1" x14ac:dyDescent="0.35">
      <c r="A11" s="4" t="s">
        <v>44</v>
      </c>
      <c r="B11" s="4" t="s">
        <v>14</v>
      </c>
      <c r="C11" s="5" t="s">
        <v>15</v>
      </c>
      <c r="D11" s="6" t="s">
        <v>45</v>
      </c>
      <c r="E11" s="6" t="s">
        <v>21</v>
      </c>
      <c r="F11" s="6">
        <v>4</v>
      </c>
      <c r="G11" s="6">
        <v>3</v>
      </c>
      <c r="H11" s="6">
        <v>20</v>
      </c>
      <c r="I11" s="6">
        <v>50</v>
      </c>
      <c r="J11" s="6">
        <v>150</v>
      </c>
      <c r="K11" s="6">
        <v>6</v>
      </c>
      <c r="L11" s="6">
        <f t="shared" si="0"/>
        <v>900</v>
      </c>
      <c r="M11" s="6" t="s">
        <v>46</v>
      </c>
    </row>
    <row r="12" spans="1:13" ht="69.599999999999994" thickBot="1" x14ac:dyDescent="0.35">
      <c r="A12" s="4" t="s">
        <v>47</v>
      </c>
      <c r="B12" s="4" t="s">
        <v>14</v>
      </c>
      <c r="C12" s="5" t="s">
        <v>15</v>
      </c>
      <c r="D12" s="6" t="s">
        <v>48</v>
      </c>
      <c r="E12" s="6" t="s">
        <v>17</v>
      </c>
      <c r="F12" s="6">
        <v>2</v>
      </c>
      <c r="G12" s="6">
        <v>6</v>
      </c>
      <c r="H12" s="6">
        <v>10</v>
      </c>
      <c r="I12" s="6">
        <v>10</v>
      </c>
      <c r="J12" s="6">
        <v>30</v>
      </c>
      <c r="K12" s="6">
        <v>75</v>
      </c>
      <c r="L12" s="6">
        <f t="shared" si="0"/>
        <v>2250</v>
      </c>
      <c r="M12" s="6" t="s">
        <v>49</v>
      </c>
    </row>
    <row r="13" spans="1:13" ht="43.2" customHeight="1" thickBot="1" x14ac:dyDescent="0.35">
      <c r="A13" s="4" t="s">
        <v>50</v>
      </c>
      <c r="B13" s="4" t="s">
        <v>14</v>
      </c>
      <c r="C13" s="5" t="s">
        <v>15</v>
      </c>
      <c r="D13" s="6" t="s">
        <v>51</v>
      </c>
      <c r="E13" s="6" t="s">
        <v>17</v>
      </c>
      <c r="F13" s="6">
        <v>2</v>
      </c>
      <c r="G13" s="6">
        <v>4</v>
      </c>
      <c r="H13" s="6">
        <v>10</v>
      </c>
      <c r="I13" s="6">
        <v>10</v>
      </c>
      <c r="J13" s="6">
        <v>20</v>
      </c>
      <c r="K13" s="6">
        <v>45</v>
      </c>
      <c r="L13" s="6">
        <f t="shared" si="0"/>
        <v>900</v>
      </c>
      <c r="M13" s="6" t="s">
        <v>52</v>
      </c>
    </row>
    <row r="14" spans="1:13" ht="55.8" thickBot="1" x14ac:dyDescent="0.35">
      <c r="A14" s="4" t="s">
        <v>53</v>
      </c>
      <c r="B14" s="4" t="s">
        <v>14</v>
      </c>
      <c r="C14" s="5" t="s">
        <v>15</v>
      </c>
      <c r="D14" s="6" t="s">
        <v>54</v>
      </c>
      <c r="E14" s="6" t="s">
        <v>21</v>
      </c>
      <c r="F14" s="6">
        <v>150</v>
      </c>
      <c r="G14" s="6">
        <v>2</v>
      </c>
      <c r="H14" s="6">
        <v>20</v>
      </c>
      <c r="I14" s="6">
        <v>2000</v>
      </c>
      <c r="J14" s="6">
        <v>5000</v>
      </c>
      <c r="K14" s="6">
        <v>0.15</v>
      </c>
      <c r="L14" s="6">
        <f t="shared" si="0"/>
        <v>750</v>
      </c>
      <c r="M14" s="6" t="s">
        <v>55</v>
      </c>
    </row>
    <row r="15" spans="1:13" ht="42" thickBot="1" x14ac:dyDescent="0.35">
      <c r="A15" s="4" t="s">
        <v>56</v>
      </c>
      <c r="B15" s="4" t="s">
        <v>14</v>
      </c>
      <c r="C15" s="5" t="s">
        <v>15</v>
      </c>
      <c r="D15" s="6" t="s">
        <v>57</v>
      </c>
      <c r="E15" s="6" t="s">
        <v>21</v>
      </c>
      <c r="F15" s="6">
        <v>60</v>
      </c>
      <c r="G15" s="6">
        <v>2</v>
      </c>
      <c r="H15" s="6">
        <v>50</v>
      </c>
      <c r="I15" s="6">
        <v>1000</v>
      </c>
      <c r="J15" s="6">
        <v>3000</v>
      </c>
      <c r="K15" s="6">
        <v>0.25</v>
      </c>
      <c r="L15" s="6">
        <f t="shared" si="0"/>
        <v>750</v>
      </c>
      <c r="M15" s="6" t="s">
        <v>58</v>
      </c>
    </row>
    <row r="16" spans="1:13" ht="55.8" thickBot="1" x14ac:dyDescent="0.35">
      <c r="A16" s="4" t="s">
        <v>59</v>
      </c>
      <c r="B16" s="4" t="s">
        <v>60</v>
      </c>
      <c r="C16" s="5" t="s">
        <v>61</v>
      </c>
      <c r="D16" s="6" t="s">
        <v>62</v>
      </c>
      <c r="E16" s="6" t="s">
        <v>17</v>
      </c>
      <c r="F16" s="6">
        <v>1</v>
      </c>
      <c r="G16" s="6">
        <v>6</v>
      </c>
      <c r="H16" s="6">
        <v>100</v>
      </c>
      <c r="I16" s="6">
        <v>3</v>
      </c>
      <c r="J16" s="6">
        <v>10</v>
      </c>
      <c r="K16" s="6">
        <v>180</v>
      </c>
      <c r="L16" s="3">
        <f>K16*J16</f>
        <v>1800</v>
      </c>
      <c r="M16" s="6" t="s">
        <v>63</v>
      </c>
    </row>
    <row r="17" spans="1:13" ht="55.8" thickBot="1" x14ac:dyDescent="0.35">
      <c r="A17" s="4" t="s">
        <v>64</v>
      </c>
      <c r="B17" s="4" t="s">
        <v>60</v>
      </c>
      <c r="C17" s="5" t="s">
        <v>61</v>
      </c>
      <c r="D17" s="6" t="s">
        <v>65</v>
      </c>
      <c r="E17" s="6" t="s">
        <v>17</v>
      </c>
      <c r="F17" s="6">
        <v>2</v>
      </c>
      <c r="G17" s="6">
        <v>5</v>
      </c>
      <c r="H17" s="6">
        <v>20</v>
      </c>
      <c r="I17" s="6">
        <v>5</v>
      </c>
      <c r="J17" s="6">
        <v>12</v>
      </c>
      <c r="K17" s="6">
        <v>210</v>
      </c>
      <c r="L17" s="3">
        <f t="shared" ref="L17:L24" si="1">K17*J17</f>
        <v>2520</v>
      </c>
      <c r="M17" s="6" t="s">
        <v>66</v>
      </c>
    </row>
    <row r="18" spans="1:13" ht="55.8" thickBot="1" x14ac:dyDescent="0.35">
      <c r="A18" s="4" t="s">
        <v>67</v>
      </c>
      <c r="B18" s="4" t="s">
        <v>60</v>
      </c>
      <c r="C18" s="5" t="s">
        <v>61</v>
      </c>
      <c r="D18" s="6" t="s">
        <v>68</v>
      </c>
      <c r="E18" s="6" t="s">
        <v>17</v>
      </c>
      <c r="F18" s="6">
        <v>18</v>
      </c>
      <c r="G18" s="6">
        <v>5</v>
      </c>
      <c r="H18" s="6">
        <v>50</v>
      </c>
      <c r="I18" s="6">
        <v>20</v>
      </c>
      <c r="J18" s="6">
        <v>50</v>
      </c>
      <c r="K18" s="6">
        <v>45</v>
      </c>
      <c r="L18" s="3">
        <f t="shared" si="1"/>
        <v>2250</v>
      </c>
      <c r="M18" s="6" t="s">
        <v>69</v>
      </c>
    </row>
    <row r="19" spans="1:13" ht="55.8" thickBot="1" x14ac:dyDescent="0.35">
      <c r="A19" s="4" t="s">
        <v>70</v>
      </c>
      <c r="B19" s="4" t="s">
        <v>60</v>
      </c>
      <c r="C19" s="5" t="s">
        <v>61</v>
      </c>
      <c r="D19" s="6" t="s">
        <v>71</v>
      </c>
      <c r="E19" s="6" t="s">
        <v>17</v>
      </c>
      <c r="F19" s="6">
        <v>72</v>
      </c>
      <c r="G19" s="6">
        <v>4</v>
      </c>
      <c r="H19" s="6">
        <v>500</v>
      </c>
      <c r="I19" s="6">
        <v>100</v>
      </c>
      <c r="J19" s="6">
        <v>300</v>
      </c>
      <c r="K19" s="6">
        <v>12</v>
      </c>
      <c r="L19" s="3">
        <f t="shared" si="1"/>
        <v>3600</v>
      </c>
      <c r="M19" s="6" t="s">
        <v>72</v>
      </c>
    </row>
    <row r="20" spans="1:13" ht="55.8" thickBot="1" x14ac:dyDescent="0.35">
      <c r="A20" s="4" t="s">
        <v>73</v>
      </c>
      <c r="B20" s="4" t="s">
        <v>60</v>
      </c>
      <c r="C20" s="5" t="s">
        <v>61</v>
      </c>
      <c r="D20" s="6" t="s">
        <v>74</v>
      </c>
      <c r="E20" s="6" t="s">
        <v>21</v>
      </c>
      <c r="F20" s="6">
        <v>2</v>
      </c>
      <c r="G20" s="6">
        <v>3</v>
      </c>
      <c r="H20" s="6">
        <v>10</v>
      </c>
      <c r="I20" s="6">
        <v>10</v>
      </c>
      <c r="J20" s="6">
        <v>30</v>
      </c>
      <c r="K20" s="6">
        <v>65</v>
      </c>
      <c r="L20" s="3">
        <f t="shared" si="1"/>
        <v>1950</v>
      </c>
      <c r="M20" s="6" t="s">
        <v>75</v>
      </c>
    </row>
    <row r="21" spans="1:13" ht="55.8" thickBot="1" x14ac:dyDescent="0.35">
      <c r="A21" s="4" t="s">
        <v>76</v>
      </c>
      <c r="B21" s="4" t="s">
        <v>60</v>
      </c>
      <c r="C21" s="5" t="s">
        <v>61</v>
      </c>
      <c r="D21" s="6" t="s">
        <v>77</v>
      </c>
      <c r="E21" s="6" t="s">
        <v>17</v>
      </c>
      <c r="F21" s="6">
        <v>1</v>
      </c>
      <c r="G21" s="6">
        <v>6</v>
      </c>
      <c r="H21" s="6">
        <v>20</v>
      </c>
      <c r="I21" s="6">
        <v>3</v>
      </c>
      <c r="J21" s="6">
        <v>8</v>
      </c>
      <c r="K21" s="6">
        <v>140</v>
      </c>
      <c r="L21" s="3">
        <f t="shared" si="1"/>
        <v>1120</v>
      </c>
      <c r="M21" s="6" t="s">
        <v>78</v>
      </c>
    </row>
    <row r="22" spans="1:13" ht="42" thickBot="1" x14ac:dyDescent="0.35">
      <c r="A22" s="4" t="s">
        <v>79</v>
      </c>
      <c r="B22" s="4" t="s">
        <v>60</v>
      </c>
      <c r="C22" s="5" t="s">
        <v>61</v>
      </c>
      <c r="D22" s="6" t="s">
        <v>80</v>
      </c>
      <c r="E22" s="6" t="s">
        <v>17</v>
      </c>
      <c r="F22" s="6">
        <v>8</v>
      </c>
      <c r="G22" s="6">
        <v>3</v>
      </c>
      <c r="H22" s="6">
        <v>20</v>
      </c>
      <c r="I22" s="6">
        <v>20</v>
      </c>
      <c r="J22" s="6">
        <v>50</v>
      </c>
      <c r="K22" s="6">
        <v>15</v>
      </c>
      <c r="L22" s="3">
        <f t="shared" si="1"/>
        <v>750</v>
      </c>
      <c r="M22" s="6" t="s">
        <v>81</v>
      </c>
    </row>
    <row r="23" spans="1:13" ht="42" thickBot="1" x14ac:dyDescent="0.35">
      <c r="A23" s="4" t="s">
        <v>82</v>
      </c>
      <c r="B23" s="4" t="s">
        <v>60</v>
      </c>
      <c r="C23" s="5" t="s">
        <v>61</v>
      </c>
      <c r="D23" s="6" t="s">
        <v>83</v>
      </c>
      <c r="E23" s="6" t="s">
        <v>21</v>
      </c>
      <c r="F23" s="6">
        <v>200</v>
      </c>
      <c r="G23" s="6">
        <v>2</v>
      </c>
      <c r="H23" s="6">
        <v>100</v>
      </c>
      <c r="I23" s="6">
        <v>2000</v>
      </c>
      <c r="J23" s="6">
        <v>6000</v>
      </c>
      <c r="K23" s="6">
        <v>0.12</v>
      </c>
      <c r="L23" s="3">
        <f t="shared" si="1"/>
        <v>720</v>
      </c>
      <c r="M23" s="6" t="s">
        <v>84</v>
      </c>
    </row>
    <row r="24" spans="1:13" ht="55.8" thickBot="1" x14ac:dyDescent="0.35">
      <c r="A24" s="4" t="s">
        <v>85</v>
      </c>
      <c r="B24" s="4" t="s">
        <v>60</v>
      </c>
      <c r="C24" s="5" t="s">
        <v>61</v>
      </c>
      <c r="D24" s="6" t="s">
        <v>86</v>
      </c>
      <c r="E24" s="6" t="s">
        <v>21</v>
      </c>
      <c r="F24" s="6">
        <v>80</v>
      </c>
      <c r="G24" s="6">
        <v>2</v>
      </c>
      <c r="H24" s="6">
        <v>20</v>
      </c>
      <c r="I24" s="6">
        <v>1000</v>
      </c>
      <c r="J24" s="6">
        <v>3000</v>
      </c>
      <c r="K24" s="6">
        <v>0.3</v>
      </c>
      <c r="L24" s="3">
        <f t="shared" si="1"/>
        <v>900</v>
      </c>
      <c r="M24" s="6" t="s">
        <v>87</v>
      </c>
    </row>
    <row r="25" spans="1:13" ht="55.8" thickBot="1" x14ac:dyDescent="0.35">
      <c r="A25" s="7" t="s">
        <v>88</v>
      </c>
      <c r="B25" s="4" t="s">
        <v>89</v>
      </c>
      <c r="C25" s="5" t="s">
        <v>90</v>
      </c>
      <c r="D25" s="6" t="s">
        <v>91</v>
      </c>
      <c r="E25" s="6" t="s">
        <v>21</v>
      </c>
      <c r="F25" s="6">
        <v>1</v>
      </c>
      <c r="G25" s="6">
        <v>14</v>
      </c>
      <c r="H25" s="6">
        <v>10</v>
      </c>
      <c r="I25" s="6">
        <v>2</v>
      </c>
      <c r="J25" s="6">
        <v>8</v>
      </c>
      <c r="K25" s="6">
        <v>650</v>
      </c>
      <c r="L25" s="3">
        <f>K25*J25</f>
        <v>5200</v>
      </c>
      <c r="M25" s="6" t="s">
        <v>92</v>
      </c>
    </row>
    <row r="26" spans="1:13" ht="55.8" thickBot="1" x14ac:dyDescent="0.35">
      <c r="A26" s="7" t="s">
        <v>93</v>
      </c>
      <c r="B26" s="4" t="s">
        <v>89</v>
      </c>
      <c r="C26" s="5" t="s">
        <v>90</v>
      </c>
      <c r="D26" s="6" t="s">
        <v>94</v>
      </c>
      <c r="E26" s="6" t="s">
        <v>21</v>
      </c>
      <c r="F26" s="6">
        <v>1</v>
      </c>
      <c r="G26" s="6">
        <v>10</v>
      </c>
      <c r="H26" s="6">
        <v>500</v>
      </c>
      <c r="I26" s="6">
        <v>2</v>
      </c>
      <c r="J26" s="6">
        <v>8</v>
      </c>
      <c r="K26" s="6">
        <v>420</v>
      </c>
      <c r="L26" s="3">
        <f t="shared" ref="L26:L32" si="2">K26*J26</f>
        <v>3360</v>
      </c>
      <c r="M26" s="6" t="s">
        <v>95</v>
      </c>
    </row>
    <row r="27" spans="1:13" ht="55.8" thickBot="1" x14ac:dyDescent="0.35">
      <c r="A27" s="7" t="s">
        <v>96</v>
      </c>
      <c r="B27" s="4" t="s">
        <v>89</v>
      </c>
      <c r="C27" s="5" t="s">
        <v>90</v>
      </c>
      <c r="D27" s="6" t="s">
        <v>97</v>
      </c>
      <c r="E27" s="6" t="s">
        <v>17</v>
      </c>
      <c r="F27" s="6">
        <v>1</v>
      </c>
      <c r="G27" s="6">
        <v>4</v>
      </c>
      <c r="H27" s="6">
        <v>5</v>
      </c>
      <c r="I27" s="6">
        <v>5</v>
      </c>
      <c r="J27" s="6">
        <v>15</v>
      </c>
      <c r="K27" s="6">
        <v>65</v>
      </c>
      <c r="L27" s="3">
        <f t="shared" si="2"/>
        <v>975</v>
      </c>
      <c r="M27" s="6" t="s">
        <v>98</v>
      </c>
    </row>
    <row r="28" spans="1:13" ht="42" thickBot="1" x14ac:dyDescent="0.35">
      <c r="A28" s="7" t="s">
        <v>99</v>
      </c>
      <c r="B28" s="4" t="s">
        <v>89</v>
      </c>
      <c r="C28" s="5" t="s">
        <v>90</v>
      </c>
      <c r="D28" s="6" t="s">
        <v>100</v>
      </c>
      <c r="E28" s="6" t="s">
        <v>21</v>
      </c>
      <c r="F28" s="6">
        <v>1</v>
      </c>
      <c r="G28" s="6">
        <v>5</v>
      </c>
      <c r="H28" s="6">
        <v>5</v>
      </c>
      <c r="I28" s="6">
        <v>5</v>
      </c>
      <c r="J28" s="6">
        <v>15</v>
      </c>
      <c r="K28" s="6">
        <v>85</v>
      </c>
      <c r="L28" s="3">
        <f t="shared" si="2"/>
        <v>1275</v>
      </c>
      <c r="M28" s="6" t="s">
        <v>101</v>
      </c>
    </row>
    <row r="29" spans="1:13" ht="42" thickBot="1" x14ac:dyDescent="0.35">
      <c r="A29" s="7" t="s">
        <v>102</v>
      </c>
      <c r="B29" s="4" t="s">
        <v>89</v>
      </c>
      <c r="C29" s="5" t="s">
        <v>90</v>
      </c>
      <c r="D29" s="6" t="s">
        <v>103</v>
      </c>
      <c r="E29" s="6" t="s">
        <v>21</v>
      </c>
      <c r="F29" s="6">
        <v>1</v>
      </c>
      <c r="G29" s="6">
        <v>4</v>
      </c>
      <c r="H29" s="6">
        <v>10</v>
      </c>
      <c r="I29" s="6">
        <v>5</v>
      </c>
      <c r="J29" s="6">
        <v>15</v>
      </c>
      <c r="K29" s="6">
        <v>45</v>
      </c>
      <c r="L29" s="3">
        <f t="shared" si="2"/>
        <v>675</v>
      </c>
      <c r="M29" s="6" t="s">
        <v>104</v>
      </c>
    </row>
    <row r="30" spans="1:13" ht="42" thickBot="1" x14ac:dyDescent="0.35">
      <c r="A30" s="7" t="s">
        <v>105</v>
      </c>
      <c r="B30" s="4" t="s">
        <v>89</v>
      </c>
      <c r="C30" s="5" t="s">
        <v>90</v>
      </c>
      <c r="D30" s="6" t="s">
        <v>106</v>
      </c>
      <c r="E30" s="6" t="s">
        <v>21</v>
      </c>
      <c r="F30" s="6">
        <v>2</v>
      </c>
      <c r="G30" s="6">
        <v>3</v>
      </c>
      <c r="H30" s="6">
        <v>5</v>
      </c>
      <c r="I30" s="6">
        <v>10</v>
      </c>
      <c r="J30" s="6">
        <v>30</v>
      </c>
      <c r="K30" s="6">
        <v>55</v>
      </c>
      <c r="L30" s="3">
        <f t="shared" si="2"/>
        <v>1650</v>
      </c>
      <c r="M30" s="6" t="s">
        <v>107</v>
      </c>
    </row>
    <row r="31" spans="1:13" ht="55.8" thickBot="1" x14ac:dyDescent="0.35">
      <c r="A31" s="7" t="s">
        <v>108</v>
      </c>
      <c r="B31" s="4" t="s">
        <v>89</v>
      </c>
      <c r="C31" s="5" t="s">
        <v>90</v>
      </c>
      <c r="D31" s="6" t="s">
        <v>109</v>
      </c>
      <c r="E31" s="6" t="s">
        <v>21</v>
      </c>
      <c r="F31" s="6">
        <v>0</v>
      </c>
      <c r="G31" s="6">
        <v>7</v>
      </c>
      <c r="H31" s="6">
        <v>20</v>
      </c>
      <c r="I31" s="6">
        <v>0</v>
      </c>
      <c r="J31" s="6">
        <v>5</v>
      </c>
      <c r="K31" s="6">
        <v>180</v>
      </c>
      <c r="L31" s="3">
        <f t="shared" si="2"/>
        <v>900</v>
      </c>
      <c r="M31" s="6" t="s">
        <v>110</v>
      </c>
    </row>
    <row r="32" spans="1:13" ht="42" thickBot="1" x14ac:dyDescent="0.35">
      <c r="A32" s="7" t="s">
        <v>111</v>
      </c>
      <c r="B32" s="4" t="s">
        <v>89</v>
      </c>
      <c r="C32" s="5" t="s">
        <v>90</v>
      </c>
      <c r="D32" s="6" t="s">
        <v>112</v>
      </c>
      <c r="E32" s="6" t="s">
        <v>17</v>
      </c>
      <c r="F32" s="6">
        <v>1</v>
      </c>
      <c r="G32" s="6">
        <v>2</v>
      </c>
      <c r="H32" s="6">
        <v>10</v>
      </c>
      <c r="I32" s="6">
        <v>10</v>
      </c>
      <c r="J32" s="6">
        <v>30</v>
      </c>
      <c r="K32" s="6">
        <v>35</v>
      </c>
      <c r="L32" s="3">
        <f t="shared" si="2"/>
        <v>1050</v>
      </c>
      <c r="M32" s="6" t="s">
        <v>113</v>
      </c>
    </row>
    <row r="33" spans="1:13" ht="55.8" thickBot="1" x14ac:dyDescent="0.35">
      <c r="A33" s="7" t="s">
        <v>114</v>
      </c>
      <c r="B33" s="4" t="s">
        <v>89</v>
      </c>
      <c r="C33" s="5" t="s">
        <v>90</v>
      </c>
      <c r="D33" s="6" t="s">
        <v>115</v>
      </c>
      <c r="E33" s="6" t="s">
        <v>21</v>
      </c>
      <c r="F33" s="6">
        <v>24</v>
      </c>
      <c r="G33" s="6">
        <v>2</v>
      </c>
      <c r="H33" s="6">
        <v>10</v>
      </c>
      <c r="I33" s="6">
        <v>200</v>
      </c>
      <c r="J33" s="6">
        <v>600</v>
      </c>
      <c r="K33" s="6">
        <v>0.2</v>
      </c>
      <c r="L33" s="3">
        <f>K33*J33</f>
        <v>120</v>
      </c>
      <c r="M33" s="6" t="s">
        <v>116</v>
      </c>
    </row>
    <row r="34" spans="1:13" ht="55.8" thickBot="1" x14ac:dyDescent="0.35">
      <c r="A34" s="5" t="s">
        <v>117</v>
      </c>
      <c r="B34" s="4" t="s">
        <v>118</v>
      </c>
      <c r="C34" s="5" t="s">
        <v>119</v>
      </c>
      <c r="D34" s="6" t="s">
        <v>120</v>
      </c>
      <c r="E34" s="6" t="s">
        <v>17</v>
      </c>
      <c r="F34" s="6">
        <v>1</v>
      </c>
      <c r="G34" s="6">
        <v>5</v>
      </c>
      <c r="H34" s="6">
        <v>200</v>
      </c>
      <c r="I34" s="6">
        <v>5</v>
      </c>
      <c r="J34" s="6">
        <v>15</v>
      </c>
      <c r="K34" s="6">
        <v>220</v>
      </c>
      <c r="L34" s="3">
        <f>K34*J34</f>
        <v>3300</v>
      </c>
      <c r="M34" s="6" t="s">
        <v>121</v>
      </c>
    </row>
    <row r="35" spans="1:13" ht="42" thickBot="1" x14ac:dyDescent="0.35">
      <c r="A35" s="5" t="s">
        <v>122</v>
      </c>
      <c r="B35" s="4" t="s">
        <v>118</v>
      </c>
      <c r="C35" s="5" t="s">
        <v>119</v>
      </c>
      <c r="D35" s="6" t="s">
        <v>123</v>
      </c>
      <c r="E35" s="6" t="s">
        <v>21</v>
      </c>
      <c r="F35" s="6">
        <v>3</v>
      </c>
      <c r="G35" s="6">
        <v>3</v>
      </c>
      <c r="H35" s="6">
        <v>5</v>
      </c>
      <c r="I35" s="6">
        <v>20</v>
      </c>
      <c r="J35" s="6">
        <v>50</v>
      </c>
      <c r="K35" s="6">
        <v>25</v>
      </c>
      <c r="L35" s="3">
        <f t="shared" ref="L35:L42" si="3">K35*J35</f>
        <v>1250</v>
      </c>
      <c r="M35" s="6" t="s">
        <v>124</v>
      </c>
    </row>
    <row r="36" spans="1:13" ht="42" thickBot="1" x14ac:dyDescent="0.35">
      <c r="A36" s="5" t="s">
        <v>125</v>
      </c>
      <c r="B36" s="4" t="s">
        <v>118</v>
      </c>
      <c r="C36" s="5" t="s">
        <v>119</v>
      </c>
      <c r="D36" s="6" t="s">
        <v>126</v>
      </c>
      <c r="E36" s="6" t="s">
        <v>21</v>
      </c>
      <c r="F36" s="6">
        <v>1</v>
      </c>
      <c r="G36" s="6">
        <v>4</v>
      </c>
      <c r="H36" s="6">
        <v>10</v>
      </c>
      <c r="I36" s="6">
        <v>10</v>
      </c>
      <c r="J36" s="6">
        <v>30</v>
      </c>
      <c r="K36" s="6">
        <v>95</v>
      </c>
      <c r="L36" s="3">
        <f t="shared" si="3"/>
        <v>2850</v>
      </c>
      <c r="M36" s="6" t="s">
        <v>127</v>
      </c>
    </row>
    <row r="37" spans="1:13" ht="55.8" thickBot="1" x14ac:dyDescent="0.35">
      <c r="A37" s="5" t="s">
        <v>128</v>
      </c>
      <c r="B37" s="4" t="s">
        <v>118</v>
      </c>
      <c r="C37" s="5" t="s">
        <v>119</v>
      </c>
      <c r="D37" s="6" t="s">
        <v>129</v>
      </c>
      <c r="E37" s="6" t="s">
        <v>17</v>
      </c>
      <c r="F37" s="6">
        <v>36</v>
      </c>
      <c r="G37" s="6">
        <v>6</v>
      </c>
      <c r="H37" s="6">
        <v>10</v>
      </c>
      <c r="I37" s="6">
        <v>50</v>
      </c>
      <c r="J37" s="6">
        <v>150</v>
      </c>
      <c r="K37" s="6">
        <v>28</v>
      </c>
      <c r="L37" s="3">
        <f t="shared" si="3"/>
        <v>4200</v>
      </c>
      <c r="M37" s="6" t="s">
        <v>130</v>
      </c>
    </row>
    <row r="38" spans="1:13" ht="42" thickBot="1" x14ac:dyDescent="0.35">
      <c r="A38" s="5" t="s">
        <v>131</v>
      </c>
      <c r="B38" s="4" t="s">
        <v>118</v>
      </c>
      <c r="C38" s="5" t="s">
        <v>119</v>
      </c>
      <c r="D38" s="6" t="s">
        <v>132</v>
      </c>
      <c r="E38" s="6" t="s">
        <v>21</v>
      </c>
      <c r="F38" s="6">
        <v>36</v>
      </c>
      <c r="G38" s="6">
        <v>2</v>
      </c>
      <c r="H38" s="6">
        <v>50</v>
      </c>
      <c r="I38" s="6">
        <v>200</v>
      </c>
      <c r="J38" s="6">
        <v>600</v>
      </c>
      <c r="K38" s="6">
        <v>1.5</v>
      </c>
      <c r="L38" s="3">
        <f t="shared" si="3"/>
        <v>900</v>
      </c>
      <c r="M38" s="6" t="s">
        <v>133</v>
      </c>
    </row>
    <row r="39" spans="1:13" ht="42" thickBot="1" x14ac:dyDescent="0.35">
      <c r="A39" s="5" t="s">
        <v>134</v>
      </c>
      <c r="B39" s="4" t="s">
        <v>118</v>
      </c>
      <c r="C39" s="5" t="s">
        <v>119</v>
      </c>
      <c r="D39" s="6" t="s">
        <v>135</v>
      </c>
      <c r="E39" s="6" t="s">
        <v>21</v>
      </c>
      <c r="F39" s="6">
        <v>36</v>
      </c>
      <c r="G39" s="6">
        <v>3</v>
      </c>
      <c r="H39" s="6">
        <v>20</v>
      </c>
      <c r="I39" s="6">
        <v>200</v>
      </c>
      <c r="J39" s="6">
        <v>600</v>
      </c>
      <c r="K39" s="6">
        <v>1.8</v>
      </c>
      <c r="L39" s="3">
        <f t="shared" si="3"/>
        <v>1080</v>
      </c>
      <c r="M39" s="6" t="s">
        <v>136</v>
      </c>
    </row>
    <row r="40" spans="1:13" ht="55.8" thickBot="1" x14ac:dyDescent="0.35">
      <c r="A40" s="5" t="s">
        <v>137</v>
      </c>
      <c r="B40" s="4" t="s">
        <v>118</v>
      </c>
      <c r="C40" s="5" t="s">
        <v>119</v>
      </c>
      <c r="D40" s="6" t="s">
        <v>138</v>
      </c>
      <c r="E40" s="6" t="s">
        <v>21</v>
      </c>
      <c r="F40" s="6">
        <v>36</v>
      </c>
      <c r="G40" s="6">
        <v>4</v>
      </c>
      <c r="H40" s="6">
        <v>50</v>
      </c>
      <c r="I40" s="6">
        <v>50</v>
      </c>
      <c r="J40" s="6">
        <v>150</v>
      </c>
      <c r="K40" s="6">
        <v>12</v>
      </c>
      <c r="L40" s="3">
        <f t="shared" si="3"/>
        <v>1800</v>
      </c>
      <c r="M40" s="6" t="s">
        <v>139</v>
      </c>
    </row>
    <row r="41" spans="1:13" ht="42" thickBot="1" x14ac:dyDescent="0.35">
      <c r="A41" s="5" t="s">
        <v>140</v>
      </c>
      <c r="B41" s="4" t="s">
        <v>118</v>
      </c>
      <c r="C41" s="5" t="s">
        <v>119</v>
      </c>
      <c r="D41" s="6" t="s">
        <v>141</v>
      </c>
      <c r="E41" s="6" t="s">
        <v>21</v>
      </c>
      <c r="F41" s="6" t="s">
        <v>142</v>
      </c>
      <c r="G41" s="6">
        <v>3</v>
      </c>
      <c r="H41" s="6">
        <v>10</v>
      </c>
      <c r="I41" s="6">
        <v>50</v>
      </c>
      <c r="J41" s="6">
        <v>150</v>
      </c>
      <c r="K41" s="6">
        <v>4</v>
      </c>
      <c r="L41" s="3">
        <f t="shared" si="3"/>
        <v>600</v>
      </c>
      <c r="M41" s="6" t="s">
        <v>143</v>
      </c>
    </row>
    <row r="42" spans="1:13" ht="42" thickBot="1" x14ac:dyDescent="0.35">
      <c r="A42" s="5" t="s">
        <v>144</v>
      </c>
      <c r="B42" s="4" t="s">
        <v>118</v>
      </c>
      <c r="C42" s="5" t="s">
        <v>119</v>
      </c>
      <c r="D42" s="6" t="s">
        <v>145</v>
      </c>
      <c r="E42" s="6" t="s">
        <v>21</v>
      </c>
      <c r="F42" s="6" t="s">
        <v>146</v>
      </c>
      <c r="G42" s="6">
        <v>2</v>
      </c>
      <c r="H42" s="6">
        <v>500</v>
      </c>
      <c r="I42" s="6">
        <v>1000</v>
      </c>
      <c r="J42" s="6">
        <v>3000</v>
      </c>
      <c r="K42" s="6">
        <v>0.1</v>
      </c>
      <c r="L42" s="3">
        <f t="shared" si="3"/>
        <v>300</v>
      </c>
      <c r="M42" s="6" t="s">
        <v>147</v>
      </c>
    </row>
    <row r="43" spans="1:13" ht="55.8" thickBot="1" x14ac:dyDescent="0.35">
      <c r="A43" s="5" t="s">
        <v>148</v>
      </c>
      <c r="B43" s="4" t="s">
        <v>149</v>
      </c>
      <c r="C43" s="5" t="s">
        <v>150</v>
      </c>
      <c r="D43" s="6" t="s">
        <v>151</v>
      </c>
      <c r="E43" s="6" t="s">
        <v>21</v>
      </c>
      <c r="F43" s="6">
        <v>36</v>
      </c>
      <c r="G43" s="6">
        <v>10</v>
      </c>
      <c r="H43" s="6">
        <v>10</v>
      </c>
      <c r="I43" s="6">
        <v>50</v>
      </c>
      <c r="J43" s="6">
        <v>150</v>
      </c>
      <c r="K43" s="6">
        <v>45</v>
      </c>
      <c r="L43" s="3">
        <f>K43*J43</f>
        <v>6750</v>
      </c>
      <c r="M43" s="6" t="s">
        <v>152</v>
      </c>
    </row>
    <row r="44" spans="1:13" ht="55.8" thickBot="1" x14ac:dyDescent="0.35">
      <c r="A44" s="5" t="s">
        <v>153</v>
      </c>
      <c r="B44" s="4" t="s">
        <v>149</v>
      </c>
      <c r="C44" s="5" t="s">
        <v>150</v>
      </c>
      <c r="D44" s="6" t="s">
        <v>154</v>
      </c>
      <c r="E44" s="6" t="s">
        <v>17</v>
      </c>
      <c r="F44" s="6">
        <v>36</v>
      </c>
      <c r="G44" s="6">
        <v>4</v>
      </c>
      <c r="H44" s="6">
        <v>5</v>
      </c>
      <c r="I44" s="6">
        <v>50</v>
      </c>
      <c r="J44" s="6">
        <v>150</v>
      </c>
      <c r="K44" s="6">
        <v>14</v>
      </c>
      <c r="L44" s="3">
        <f t="shared" ref="L44:L49" si="4">K44*J44</f>
        <v>2100</v>
      </c>
      <c r="M44" s="6" t="s">
        <v>155</v>
      </c>
    </row>
    <row r="45" spans="1:13" ht="42" thickBot="1" x14ac:dyDescent="0.35">
      <c r="A45" s="5" t="s">
        <v>156</v>
      </c>
      <c r="B45" s="4" t="s">
        <v>149</v>
      </c>
      <c r="C45" s="5" t="s">
        <v>150</v>
      </c>
      <c r="D45" s="6" t="s">
        <v>157</v>
      </c>
      <c r="E45" s="6" t="s">
        <v>17</v>
      </c>
      <c r="F45" s="6">
        <v>36</v>
      </c>
      <c r="G45" s="6">
        <v>4</v>
      </c>
      <c r="H45" s="6">
        <v>10</v>
      </c>
      <c r="I45" s="6">
        <v>50</v>
      </c>
      <c r="J45" s="6">
        <v>150</v>
      </c>
      <c r="K45" s="6">
        <v>8</v>
      </c>
      <c r="L45" s="3">
        <f t="shared" si="4"/>
        <v>1200</v>
      </c>
      <c r="M45" s="6" t="s">
        <v>158</v>
      </c>
    </row>
    <row r="46" spans="1:13" ht="55.8" thickBot="1" x14ac:dyDescent="0.35">
      <c r="A46" s="5" t="s">
        <v>159</v>
      </c>
      <c r="B46" s="4" t="s">
        <v>149</v>
      </c>
      <c r="C46" s="5" t="s">
        <v>150</v>
      </c>
      <c r="D46" s="6" t="s">
        <v>160</v>
      </c>
      <c r="E46" s="6" t="s">
        <v>21</v>
      </c>
      <c r="F46" s="6">
        <v>36</v>
      </c>
      <c r="G46" s="6">
        <v>3</v>
      </c>
      <c r="H46" s="6">
        <v>10</v>
      </c>
      <c r="I46" s="6">
        <v>100</v>
      </c>
      <c r="J46" s="6">
        <v>300</v>
      </c>
      <c r="K46" s="6">
        <v>1.2</v>
      </c>
      <c r="L46" s="3">
        <f t="shared" si="4"/>
        <v>360</v>
      </c>
      <c r="M46" s="6" t="s">
        <v>161</v>
      </c>
    </row>
    <row r="47" spans="1:13" ht="55.8" thickBot="1" x14ac:dyDescent="0.35">
      <c r="A47" s="5" t="s">
        <v>162</v>
      </c>
      <c r="B47" s="4" t="s">
        <v>149</v>
      </c>
      <c r="C47" s="5" t="s">
        <v>150</v>
      </c>
      <c r="D47" s="6" t="s">
        <v>163</v>
      </c>
      <c r="E47" s="6" t="s">
        <v>21</v>
      </c>
      <c r="F47" s="6">
        <v>36</v>
      </c>
      <c r="G47" s="6">
        <v>5</v>
      </c>
      <c r="H47" s="6">
        <v>5</v>
      </c>
      <c r="I47" s="6">
        <v>100</v>
      </c>
      <c r="J47" s="6">
        <v>300</v>
      </c>
      <c r="K47" s="6">
        <v>6.5</v>
      </c>
      <c r="L47" s="3">
        <f t="shared" si="4"/>
        <v>1950</v>
      </c>
      <c r="M47" s="6" t="s">
        <v>164</v>
      </c>
    </row>
    <row r="48" spans="1:13" ht="55.8" thickBot="1" x14ac:dyDescent="0.35">
      <c r="A48" s="5" t="s">
        <v>165</v>
      </c>
      <c r="B48" s="4" t="s">
        <v>149</v>
      </c>
      <c r="C48" s="5" t="s">
        <v>150</v>
      </c>
      <c r="D48" s="6" t="s">
        <v>166</v>
      </c>
      <c r="E48" s="6" t="s">
        <v>17</v>
      </c>
      <c r="F48" s="6">
        <v>1</v>
      </c>
      <c r="G48" s="6">
        <v>3</v>
      </c>
      <c r="H48" s="6">
        <v>20</v>
      </c>
      <c r="I48" s="6">
        <v>10</v>
      </c>
      <c r="J48" s="6">
        <v>30</v>
      </c>
      <c r="K48" s="6">
        <v>85</v>
      </c>
      <c r="L48" s="3">
        <f t="shared" si="4"/>
        <v>2550</v>
      </c>
      <c r="M48" s="6" t="s">
        <v>167</v>
      </c>
    </row>
    <row r="49" spans="1:13" ht="42" thickBot="1" x14ac:dyDescent="0.35">
      <c r="A49" s="5" t="s">
        <v>168</v>
      </c>
      <c r="B49" s="4" t="s">
        <v>149</v>
      </c>
      <c r="C49" s="5" t="s">
        <v>150</v>
      </c>
      <c r="D49" s="6" t="s">
        <v>169</v>
      </c>
      <c r="E49" s="6" t="s">
        <v>21</v>
      </c>
      <c r="F49" s="6" t="s">
        <v>170</v>
      </c>
      <c r="G49" s="6">
        <v>2</v>
      </c>
      <c r="H49" s="6">
        <v>10</v>
      </c>
      <c r="I49" s="6">
        <v>1000</v>
      </c>
      <c r="J49" s="6">
        <v>4000</v>
      </c>
      <c r="K49" s="6">
        <v>0.08</v>
      </c>
      <c r="L49" s="3">
        <f t="shared" si="4"/>
        <v>320</v>
      </c>
      <c r="M49" s="6" t="s">
        <v>171</v>
      </c>
    </row>
    <row r="50" spans="1:13" ht="55.8" thickBot="1" x14ac:dyDescent="0.35">
      <c r="A50" s="5" t="s">
        <v>172</v>
      </c>
      <c r="B50" s="4" t="s">
        <v>173</v>
      </c>
      <c r="C50" s="8" t="s">
        <v>174</v>
      </c>
      <c r="D50" s="6" t="s">
        <v>175</v>
      </c>
      <c r="E50" s="6" t="s">
        <v>21</v>
      </c>
      <c r="F50" s="6">
        <v>1</v>
      </c>
      <c r="G50" s="6">
        <v>12</v>
      </c>
      <c r="H50" s="6">
        <v>10</v>
      </c>
      <c r="I50" s="6">
        <v>2</v>
      </c>
      <c r="J50" s="6">
        <v>6</v>
      </c>
      <c r="K50" s="6">
        <v>1200</v>
      </c>
      <c r="L50" s="3">
        <f>K50*J50</f>
        <v>7200</v>
      </c>
      <c r="M50" s="6" t="s">
        <v>176</v>
      </c>
    </row>
    <row r="51" spans="1:13" ht="55.8" thickBot="1" x14ac:dyDescent="0.35">
      <c r="A51" s="5" t="s">
        <v>177</v>
      </c>
      <c r="B51" s="4" t="s">
        <v>173</v>
      </c>
      <c r="C51" s="8" t="s">
        <v>174</v>
      </c>
      <c r="D51" s="6" t="s">
        <v>178</v>
      </c>
      <c r="E51" s="6" t="s">
        <v>21</v>
      </c>
      <c r="F51" s="6">
        <v>1</v>
      </c>
      <c r="G51" s="6">
        <v>10</v>
      </c>
      <c r="H51" s="6">
        <v>100</v>
      </c>
      <c r="I51" s="6">
        <v>2</v>
      </c>
      <c r="J51" s="6">
        <v>6</v>
      </c>
      <c r="K51" s="6">
        <v>650</v>
      </c>
      <c r="L51" s="3">
        <f t="shared" ref="L51:L65" si="5">K51*J51</f>
        <v>3900</v>
      </c>
      <c r="M51" s="6" t="s">
        <v>179</v>
      </c>
    </row>
    <row r="52" spans="1:13" ht="42" thickBot="1" x14ac:dyDescent="0.35">
      <c r="A52" s="5" t="s">
        <v>180</v>
      </c>
      <c r="B52" s="4" t="s">
        <v>173</v>
      </c>
      <c r="C52" s="8" t="s">
        <v>174</v>
      </c>
      <c r="D52" s="6" t="s">
        <v>181</v>
      </c>
      <c r="E52" s="6" t="s">
        <v>21</v>
      </c>
      <c r="F52" s="6">
        <v>1</v>
      </c>
      <c r="G52" s="6">
        <v>7</v>
      </c>
      <c r="H52" s="6">
        <v>10</v>
      </c>
      <c r="I52" s="6">
        <v>5</v>
      </c>
      <c r="J52" s="6">
        <v>15</v>
      </c>
      <c r="K52" s="6">
        <v>220</v>
      </c>
      <c r="L52" s="3">
        <f t="shared" si="5"/>
        <v>3300</v>
      </c>
      <c r="M52" s="6" t="s">
        <v>182</v>
      </c>
    </row>
    <row r="53" spans="1:13" ht="55.8" thickBot="1" x14ac:dyDescent="0.35">
      <c r="A53" s="5" t="s">
        <v>183</v>
      </c>
      <c r="B53" s="4" t="s">
        <v>173</v>
      </c>
      <c r="C53" s="8" t="s">
        <v>174</v>
      </c>
      <c r="D53" s="6" t="s">
        <v>184</v>
      </c>
      <c r="E53" s="6" t="s">
        <v>21</v>
      </c>
      <c r="F53" s="6">
        <v>1</v>
      </c>
      <c r="G53" s="6">
        <v>7</v>
      </c>
      <c r="H53" s="6">
        <v>10</v>
      </c>
      <c r="I53" s="6">
        <v>2</v>
      </c>
      <c r="J53" s="6">
        <v>10</v>
      </c>
      <c r="K53" s="6">
        <v>180</v>
      </c>
      <c r="L53" s="3">
        <f t="shared" si="5"/>
        <v>1800</v>
      </c>
      <c r="M53" s="6" t="s">
        <v>185</v>
      </c>
    </row>
    <row r="54" spans="1:13" ht="55.8" thickBot="1" x14ac:dyDescent="0.35">
      <c r="A54" s="5" t="s">
        <v>186</v>
      </c>
      <c r="B54" s="4" t="s">
        <v>173</v>
      </c>
      <c r="C54" s="8" t="s">
        <v>174</v>
      </c>
      <c r="D54" s="6" t="s">
        <v>187</v>
      </c>
      <c r="E54" s="6" t="s">
        <v>17</v>
      </c>
      <c r="F54" s="6">
        <v>1</v>
      </c>
      <c r="G54" s="6">
        <v>4</v>
      </c>
      <c r="H54" s="6">
        <v>10</v>
      </c>
      <c r="I54" s="6">
        <v>5</v>
      </c>
      <c r="J54" s="6">
        <v>15</v>
      </c>
      <c r="K54" s="6">
        <v>90</v>
      </c>
      <c r="L54" s="3">
        <f t="shared" si="5"/>
        <v>1350</v>
      </c>
      <c r="M54" s="6" t="s">
        <v>188</v>
      </c>
    </row>
    <row r="55" spans="1:13" ht="55.8" thickBot="1" x14ac:dyDescent="0.35">
      <c r="A55" s="5" t="s">
        <v>189</v>
      </c>
      <c r="B55" s="4" t="s">
        <v>173</v>
      </c>
      <c r="C55" s="8" t="s">
        <v>174</v>
      </c>
      <c r="D55" s="6" t="s">
        <v>190</v>
      </c>
      <c r="E55" s="6" t="s">
        <v>21</v>
      </c>
      <c r="F55" s="6">
        <v>1</v>
      </c>
      <c r="G55" s="6">
        <v>4</v>
      </c>
      <c r="H55" s="6">
        <v>10</v>
      </c>
      <c r="I55" s="6">
        <v>5</v>
      </c>
      <c r="J55" s="6">
        <v>15</v>
      </c>
      <c r="K55" s="6">
        <v>45</v>
      </c>
      <c r="L55" s="3">
        <f t="shared" si="5"/>
        <v>675</v>
      </c>
      <c r="M55" s="6" t="s">
        <v>191</v>
      </c>
    </row>
    <row r="56" spans="1:13" ht="42" thickBot="1" x14ac:dyDescent="0.35">
      <c r="A56" s="5" t="s">
        <v>192</v>
      </c>
      <c r="B56" s="4" t="s">
        <v>173</v>
      </c>
      <c r="C56" s="8" t="s">
        <v>174</v>
      </c>
      <c r="D56" s="6" t="s">
        <v>193</v>
      </c>
      <c r="E56" s="6" t="s">
        <v>17</v>
      </c>
      <c r="F56" s="6">
        <v>1</v>
      </c>
      <c r="G56" s="6">
        <v>2</v>
      </c>
      <c r="H56" s="6">
        <v>10</v>
      </c>
      <c r="I56" s="6">
        <v>10</v>
      </c>
      <c r="J56" s="6">
        <v>30</v>
      </c>
      <c r="K56" s="6">
        <v>45</v>
      </c>
      <c r="L56" s="3">
        <f t="shared" si="5"/>
        <v>1350</v>
      </c>
      <c r="M56" s="6" t="s">
        <v>194</v>
      </c>
    </row>
    <row r="57" spans="1:13" ht="55.8" thickBot="1" x14ac:dyDescent="0.35">
      <c r="A57" s="5" t="s">
        <v>195</v>
      </c>
      <c r="B57" s="4" t="s">
        <v>173</v>
      </c>
      <c r="C57" s="8" t="s">
        <v>174</v>
      </c>
      <c r="D57" s="6" t="s">
        <v>196</v>
      </c>
      <c r="E57" s="6" t="s">
        <v>21</v>
      </c>
      <c r="F57" s="6" t="s">
        <v>197</v>
      </c>
      <c r="G57" s="6">
        <v>2</v>
      </c>
      <c r="H57" s="6">
        <v>50</v>
      </c>
      <c r="I57" s="6">
        <v>100</v>
      </c>
      <c r="J57" s="6">
        <v>300</v>
      </c>
      <c r="K57" s="6">
        <v>0.15</v>
      </c>
      <c r="L57" s="3">
        <f t="shared" si="5"/>
        <v>45</v>
      </c>
      <c r="M57" s="6" t="s">
        <v>198</v>
      </c>
    </row>
    <row r="58" spans="1:13" ht="55.8" thickBot="1" x14ac:dyDescent="0.35">
      <c r="A58" s="5" t="s">
        <v>199</v>
      </c>
      <c r="B58" s="4" t="s">
        <v>200</v>
      </c>
      <c r="C58" s="8" t="s">
        <v>201</v>
      </c>
      <c r="D58" s="6" t="s">
        <v>202</v>
      </c>
      <c r="E58" s="6" t="s">
        <v>21</v>
      </c>
      <c r="F58" s="6">
        <v>1</v>
      </c>
      <c r="G58" s="6">
        <v>21</v>
      </c>
      <c r="H58" s="6">
        <v>50</v>
      </c>
      <c r="I58" s="6">
        <v>3</v>
      </c>
      <c r="J58" s="6">
        <v>10</v>
      </c>
      <c r="K58" s="6">
        <v>450</v>
      </c>
      <c r="L58" s="3">
        <f t="shared" si="5"/>
        <v>4500</v>
      </c>
      <c r="M58" s="6" t="s">
        <v>203</v>
      </c>
    </row>
    <row r="59" spans="1:13" ht="55.8" thickBot="1" x14ac:dyDescent="0.35">
      <c r="A59" s="5" t="s">
        <v>204</v>
      </c>
      <c r="B59" s="4" t="s">
        <v>200</v>
      </c>
      <c r="C59" s="8" t="s">
        <v>201</v>
      </c>
      <c r="D59" s="6" t="s">
        <v>205</v>
      </c>
      <c r="E59" s="6" t="s">
        <v>21</v>
      </c>
      <c r="F59" s="6">
        <v>2</v>
      </c>
      <c r="G59" s="6">
        <v>14</v>
      </c>
      <c r="H59" s="6">
        <v>200</v>
      </c>
      <c r="I59" s="6">
        <v>5</v>
      </c>
      <c r="J59" s="6">
        <v>15</v>
      </c>
      <c r="K59" s="6">
        <v>180</v>
      </c>
      <c r="L59" s="3">
        <f t="shared" si="5"/>
        <v>2700</v>
      </c>
      <c r="M59" s="6" t="s">
        <v>206</v>
      </c>
    </row>
    <row r="60" spans="1:13" ht="55.8" thickBot="1" x14ac:dyDescent="0.35">
      <c r="A60" s="5" t="s">
        <v>207</v>
      </c>
      <c r="B60" s="4" t="s">
        <v>200</v>
      </c>
      <c r="C60" s="8" t="s">
        <v>201</v>
      </c>
      <c r="D60" s="6" t="s">
        <v>208</v>
      </c>
      <c r="E60" s="6" t="s">
        <v>21</v>
      </c>
      <c r="F60" s="6">
        <v>1</v>
      </c>
      <c r="G60" s="6">
        <v>14</v>
      </c>
      <c r="H60" s="6">
        <v>10</v>
      </c>
      <c r="I60" s="6">
        <v>5</v>
      </c>
      <c r="J60" s="6">
        <v>15</v>
      </c>
      <c r="K60" s="6">
        <v>65</v>
      </c>
      <c r="L60" s="3">
        <f t="shared" si="5"/>
        <v>975</v>
      </c>
      <c r="M60" s="6" t="s">
        <v>209</v>
      </c>
    </row>
    <row r="61" spans="1:13" ht="55.8" thickBot="1" x14ac:dyDescent="0.35">
      <c r="A61" s="5" t="s">
        <v>210</v>
      </c>
      <c r="B61" s="4" t="s">
        <v>200</v>
      </c>
      <c r="C61" s="8" t="s">
        <v>201</v>
      </c>
      <c r="D61" s="6" t="s">
        <v>211</v>
      </c>
      <c r="E61" s="6" t="s">
        <v>21</v>
      </c>
      <c r="F61" s="6">
        <v>8</v>
      </c>
      <c r="G61" s="6">
        <v>10</v>
      </c>
      <c r="H61" s="6">
        <v>50</v>
      </c>
      <c r="I61" s="6">
        <v>20</v>
      </c>
      <c r="J61" s="6">
        <v>60</v>
      </c>
      <c r="K61" s="6">
        <v>12</v>
      </c>
      <c r="L61" s="3">
        <f t="shared" si="5"/>
        <v>720</v>
      </c>
      <c r="M61" s="6" t="s">
        <v>212</v>
      </c>
    </row>
    <row r="62" spans="1:13" ht="55.8" thickBot="1" x14ac:dyDescent="0.35">
      <c r="A62" s="5" t="s">
        <v>213</v>
      </c>
      <c r="B62" s="4" t="s">
        <v>200</v>
      </c>
      <c r="C62" s="8" t="s">
        <v>201</v>
      </c>
      <c r="D62" s="6" t="s">
        <v>214</v>
      </c>
      <c r="E62" s="6" t="s">
        <v>17</v>
      </c>
      <c r="F62" s="6">
        <v>1</v>
      </c>
      <c r="G62" s="6">
        <v>4</v>
      </c>
      <c r="H62" s="6">
        <v>50</v>
      </c>
      <c r="I62" s="6">
        <v>5</v>
      </c>
      <c r="J62" s="6">
        <v>15</v>
      </c>
      <c r="K62" s="6">
        <v>55</v>
      </c>
      <c r="L62" s="3">
        <f t="shared" si="5"/>
        <v>825</v>
      </c>
      <c r="M62" s="6" t="s">
        <v>215</v>
      </c>
    </row>
    <row r="63" spans="1:13" ht="55.8" thickBot="1" x14ac:dyDescent="0.35">
      <c r="A63" s="5" t="s">
        <v>216</v>
      </c>
      <c r="B63" s="4" t="s">
        <v>200</v>
      </c>
      <c r="C63" s="8" t="s">
        <v>201</v>
      </c>
      <c r="D63" s="6" t="s">
        <v>217</v>
      </c>
      <c r="E63" s="6" t="s">
        <v>21</v>
      </c>
      <c r="F63" s="6" t="s">
        <v>218</v>
      </c>
      <c r="G63" s="6">
        <v>5</v>
      </c>
      <c r="H63" s="6">
        <v>100</v>
      </c>
      <c r="I63" s="6">
        <v>50</v>
      </c>
      <c r="J63" s="6">
        <v>150</v>
      </c>
      <c r="K63" s="6">
        <v>4.5</v>
      </c>
      <c r="L63" s="3">
        <f t="shared" si="5"/>
        <v>675</v>
      </c>
      <c r="M63" s="6" t="s">
        <v>219</v>
      </c>
    </row>
    <row r="64" spans="1:13" ht="42" thickBot="1" x14ac:dyDescent="0.35">
      <c r="A64" s="5" t="s">
        <v>220</v>
      </c>
      <c r="B64" s="4" t="s">
        <v>200</v>
      </c>
      <c r="C64" s="8" t="s">
        <v>201</v>
      </c>
      <c r="D64" s="6" t="s">
        <v>221</v>
      </c>
      <c r="E64" s="6" t="s">
        <v>17</v>
      </c>
      <c r="F64" s="6">
        <v>2</v>
      </c>
      <c r="G64" s="6">
        <v>2</v>
      </c>
      <c r="H64" s="6">
        <v>500</v>
      </c>
      <c r="I64" s="6">
        <v>10</v>
      </c>
      <c r="J64" s="6">
        <v>30</v>
      </c>
      <c r="K64" s="6">
        <v>22</v>
      </c>
      <c r="L64" s="3">
        <f t="shared" si="5"/>
        <v>660</v>
      </c>
      <c r="M64" s="6" t="s">
        <v>222</v>
      </c>
    </row>
    <row r="65" spans="1:13" ht="42" thickBot="1" x14ac:dyDescent="0.35">
      <c r="A65" s="5" t="s">
        <v>223</v>
      </c>
      <c r="B65" s="4" t="s">
        <v>200</v>
      </c>
      <c r="C65" s="8" t="s">
        <v>201</v>
      </c>
      <c r="D65" s="6" t="s">
        <v>224</v>
      </c>
      <c r="E65" s="6" t="s">
        <v>21</v>
      </c>
      <c r="F65" s="6" t="s">
        <v>225</v>
      </c>
      <c r="G65" s="6">
        <v>2</v>
      </c>
      <c r="H65" s="6">
        <v>50</v>
      </c>
      <c r="I65" s="6">
        <v>100</v>
      </c>
      <c r="J65" s="6">
        <v>300</v>
      </c>
      <c r="K65" s="6">
        <v>0.25</v>
      </c>
      <c r="L65" s="3">
        <f t="shared" si="5"/>
        <v>75</v>
      </c>
      <c r="M65" s="6" t="s">
        <v>226</v>
      </c>
    </row>
    <row r="66" spans="1:13" ht="55.8" thickBot="1" x14ac:dyDescent="0.35">
      <c r="A66" s="5" t="s">
        <v>227</v>
      </c>
      <c r="B66" s="4" t="s">
        <v>228</v>
      </c>
      <c r="C66" s="8" t="s">
        <v>229</v>
      </c>
      <c r="D66" s="6" t="s">
        <v>230</v>
      </c>
      <c r="E66" s="6" t="s">
        <v>21</v>
      </c>
      <c r="F66" s="6">
        <v>1</v>
      </c>
      <c r="G66" s="6">
        <v>7</v>
      </c>
      <c r="H66" s="6">
        <v>10</v>
      </c>
      <c r="I66" s="6">
        <v>3</v>
      </c>
      <c r="J66" s="6">
        <v>10</v>
      </c>
      <c r="K66" s="6">
        <v>180</v>
      </c>
      <c r="L66" s="3">
        <f>K66*J66</f>
        <v>1800</v>
      </c>
      <c r="M66" s="6" t="s">
        <v>231</v>
      </c>
    </row>
    <row r="67" spans="1:13" ht="55.8" thickBot="1" x14ac:dyDescent="0.35">
      <c r="A67" s="5" t="s">
        <v>232</v>
      </c>
      <c r="B67" s="4" t="s">
        <v>228</v>
      </c>
      <c r="C67" s="8" t="s">
        <v>229</v>
      </c>
      <c r="D67" s="6" t="s">
        <v>233</v>
      </c>
      <c r="E67" s="6" t="s">
        <v>21</v>
      </c>
      <c r="F67" s="6">
        <v>1</v>
      </c>
      <c r="G67" s="6">
        <v>10</v>
      </c>
      <c r="H67" s="6">
        <v>5</v>
      </c>
      <c r="I67" s="6">
        <v>2</v>
      </c>
      <c r="J67" s="6">
        <v>8</v>
      </c>
      <c r="K67" s="6">
        <v>240</v>
      </c>
      <c r="L67" s="3">
        <f t="shared" ref="L67:L74" si="6">K67*J67</f>
        <v>1920</v>
      </c>
      <c r="M67" s="6" t="s">
        <v>234</v>
      </c>
    </row>
    <row r="68" spans="1:13" ht="55.8" thickBot="1" x14ac:dyDescent="0.35">
      <c r="A68" s="5" t="s">
        <v>235</v>
      </c>
      <c r="B68" s="4" t="s">
        <v>228</v>
      </c>
      <c r="C68" s="8" t="s">
        <v>229</v>
      </c>
      <c r="D68" s="6" t="s">
        <v>236</v>
      </c>
      <c r="E68" s="6" t="s">
        <v>21</v>
      </c>
      <c r="F68" s="6">
        <v>1</v>
      </c>
      <c r="G68" s="6">
        <v>5</v>
      </c>
      <c r="H68" s="6">
        <v>10</v>
      </c>
      <c r="I68" s="6">
        <v>5</v>
      </c>
      <c r="J68" s="6">
        <v>15</v>
      </c>
      <c r="K68" s="6">
        <v>95</v>
      </c>
      <c r="L68" s="3">
        <f t="shared" si="6"/>
        <v>1425</v>
      </c>
      <c r="M68" s="6" t="s">
        <v>237</v>
      </c>
    </row>
    <row r="69" spans="1:13" ht="55.8" thickBot="1" x14ac:dyDescent="0.35">
      <c r="A69" s="5" t="s">
        <v>238</v>
      </c>
      <c r="B69" s="4" t="s">
        <v>228</v>
      </c>
      <c r="C69" s="8" t="s">
        <v>229</v>
      </c>
      <c r="D69" s="6" t="s">
        <v>239</v>
      </c>
      <c r="E69" s="6" t="s">
        <v>21</v>
      </c>
      <c r="F69" s="6">
        <v>1</v>
      </c>
      <c r="G69" s="6">
        <v>4</v>
      </c>
      <c r="H69" s="6">
        <v>10</v>
      </c>
      <c r="I69" s="6">
        <v>5</v>
      </c>
      <c r="J69" s="6">
        <v>15</v>
      </c>
      <c r="K69" s="6">
        <v>25</v>
      </c>
      <c r="L69" s="3">
        <f t="shared" si="6"/>
        <v>375</v>
      </c>
      <c r="M69" s="6" t="s">
        <v>240</v>
      </c>
    </row>
    <row r="70" spans="1:13" ht="42" thickBot="1" x14ac:dyDescent="0.35">
      <c r="A70" s="5" t="s">
        <v>241</v>
      </c>
      <c r="B70" s="4" t="s">
        <v>228</v>
      </c>
      <c r="C70" s="8" t="s">
        <v>229</v>
      </c>
      <c r="D70" s="6" t="s">
        <v>242</v>
      </c>
      <c r="E70" s="6" t="s">
        <v>21</v>
      </c>
      <c r="F70" s="6">
        <v>1</v>
      </c>
      <c r="G70" s="6">
        <v>7</v>
      </c>
      <c r="H70" s="6">
        <v>5</v>
      </c>
      <c r="I70" s="6">
        <v>2</v>
      </c>
      <c r="J70" s="6">
        <v>10</v>
      </c>
      <c r="K70" s="6">
        <v>120</v>
      </c>
      <c r="L70" s="3">
        <f t="shared" si="6"/>
        <v>1200</v>
      </c>
      <c r="M70" s="6" t="s">
        <v>243</v>
      </c>
    </row>
    <row r="71" spans="1:13" ht="55.8" thickBot="1" x14ac:dyDescent="0.35">
      <c r="A71" s="5" t="s">
        <v>244</v>
      </c>
      <c r="B71" s="4" t="s">
        <v>228</v>
      </c>
      <c r="C71" s="8" t="s">
        <v>229</v>
      </c>
      <c r="D71" s="6" t="s">
        <v>245</v>
      </c>
      <c r="E71" s="6" t="s">
        <v>17</v>
      </c>
      <c r="F71" s="6">
        <v>1</v>
      </c>
      <c r="G71" s="6">
        <v>4</v>
      </c>
      <c r="H71" s="6">
        <v>20</v>
      </c>
      <c r="I71" s="6">
        <v>5</v>
      </c>
      <c r="J71" s="6">
        <v>15</v>
      </c>
      <c r="K71" s="6">
        <v>45</v>
      </c>
      <c r="L71" s="3">
        <f t="shared" si="6"/>
        <v>675</v>
      </c>
      <c r="M71" s="6" t="s">
        <v>246</v>
      </c>
    </row>
    <row r="72" spans="1:13" ht="42" thickBot="1" x14ac:dyDescent="0.35">
      <c r="A72" s="5" t="s">
        <v>247</v>
      </c>
      <c r="B72" s="4" t="s">
        <v>228</v>
      </c>
      <c r="C72" s="8" t="s">
        <v>229</v>
      </c>
      <c r="D72" s="6" t="s">
        <v>248</v>
      </c>
      <c r="E72" s="6" t="s">
        <v>21</v>
      </c>
      <c r="F72" s="6" t="s">
        <v>249</v>
      </c>
      <c r="G72" s="6">
        <v>3</v>
      </c>
      <c r="H72" s="6">
        <v>10</v>
      </c>
      <c r="I72" s="6">
        <v>10</v>
      </c>
      <c r="J72" s="6">
        <v>30</v>
      </c>
      <c r="K72" s="6">
        <v>35</v>
      </c>
      <c r="L72" s="3">
        <f t="shared" si="6"/>
        <v>1050</v>
      </c>
      <c r="M72" s="6" t="s">
        <v>250</v>
      </c>
    </row>
    <row r="73" spans="1:13" ht="55.8" thickBot="1" x14ac:dyDescent="0.35">
      <c r="A73" s="5" t="s">
        <v>251</v>
      </c>
      <c r="B73" s="4" t="s">
        <v>228</v>
      </c>
      <c r="C73" s="8" t="s">
        <v>229</v>
      </c>
      <c r="D73" s="6" t="s">
        <v>252</v>
      </c>
      <c r="E73" s="6" t="s">
        <v>17</v>
      </c>
      <c r="F73" s="6">
        <v>1</v>
      </c>
      <c r="G73" s="6">
        <v>2</v>
      </c>
      <c r="H73" s="6">
        <v>10</v>
      </c>
      <c r="I73" s="6">
        <v>10</v>
      </c>
      <c r="J73" s="6">
        <v>30</v>
      </c>
      <c r="K73" s="6">
        <v>40</v>
      </c>
      <c r="L73" s="3">
        <f t="shared" si="6"/>
        <v>1200</v>
      </c>
      <c r="M73" s="6" t="s">
        <v>253</v>
      </c>
    </row>
    <row r="74" spans="1:13" ht="42" thickBot="1" x14ac:dyDescent="0.35">
      <c r="A74" s="5" t="s">
        <v>254</v>
      </c>
      <c r="B74" s="4" t="s">
        <v>228</v>
      </c>
      <c r="C74" s="8" t="s">
        <v>229</v>
      </c>
      <c r="D74" s="6" t="s">
        <v>255</v>
      </c>
      <c r="E74" s="6" t="s">
        <v>21</v>
      </c>
      <c r="F74" s="6" t="s">
        <v>249</v>
      </c>
      <c r="G74" s="6">
        <v>2</v>
      </c>
      <c r="H74" s="6">
        <v>100</v>
      </c>
      <c r="I74" s="6">
        <v>50</v>
      </c>
      <c r="J74" s="6">
        <v>150</v>
      </c>
      <c r="K74" s="6">
        <v>18</v>
      </c>
      <c r="L74" s="3">
        <f t="shared" si="6"/>
        <v>2700</v>
      </c>
      <c r="M74" s="6" t="s">
        <v>256</v>
      </c>
    </row>
    <row r="75" spans="1:13" ht="55.8" thickBot="1" x14ac:dyDescent="0.35">
      <c r="A75" s="5" t="s">
        <v>257</v>
      </c>
      <c r="B75" s="4" t="s">
        <v>258</v>
      </c>
      <c r="C75" s="8" t="s">
        <v>259</v>
      </c>
      <c r="D75" s="6" t="s">
        <v>260</v>
      </c>
      <c r="E75" s="6" t="s">
        <v>17</v>
      </c>
      <c r="F75" s="6">
        <v>1</v>
      </c>
      <c r="G75" s="6">
        <v>3</v>
      </c>
      <c r="H75" s="6">
        <v>10</v>
      </c>
      <c r="I75" s="6">
        <v>10</v>
      </c>
      <c r="J75" s="6">
        <v>30</v>
      </c>
      <c r="K75" s="6">
        <v>75</v>
      </c>
      <c r="L75" s="3">
        <f>K75*J75</f>
        <v>2250</v>
      </c>
      <c r="M75" s="6" t="s">
        <v>261</v>
      </c>
    </row>
    <row r="76" spans="1:13" ht="55.8" thickBot="1" x14ac:dyDescent="0.35">
      <c r="A76" s="5" t="s">
        <v>262</v>
      </c>
      <c r="B76" s="4" t="s">
        <v>258</v>
      </c>
      <c r="C76" s="8" t="s">
        <v>259</v>
      </c>
      <c r="D76" s="6" t="s">
        <v>263</v>
      </c>
      <c r="E76" s="6" t="s">
        <v>17</v>
      </c>
      <c r="F76" s="6">
        <v>1</v>
      </c>
      <c r="G76" s="6">
        <v>3</v>
      </c>
      <c r="H76" s="6">
        <v>10</v>
      </c>
      <c r="I76" s="6">
        <v>10</v>
      </c>
      <c r="J76" s="6">
        <v>30</v>
      </c>
      <c r="K76" s="6">
        <v>60</v>
      </c>
      <c r="L76" s="3">
        <f t="shared" ref="L76:L82" si="7">K76*J76</f>
        <v>1800</v>
      </c>
      <c r="M76" s="6" t="s">
        <v>264</v>
      </c>
    </row>
    <row r="77" spans="1:13" ht="55.8" thickBot="1" x14ac:dyDescent="0.35">
      <c r="A77" s="5" t="s">
        <v>265</v>
      </c>
      <c r="B77" s="4" t="s">
        <v>258</v>
      </c>
      <c r="C77" s="8" t="s">
        <v>259</v>
      </c>
      <c r="D77" s="6" t="s">
        <v>266</v>
      </c>
      <c r="E77" s="6" t="s">
        <v>21</v>
      </c>
      <c r="F77" s="6">
        <v>1</v>
      </c>
      <c r="G77" s="6">
        <v>4</v>
      </c>
      <c r="H77" s="6">
        <v>10</v>
      </c>
      <c r="I77" s="6">
        <v>10</v>
      </c>
      <c r="J77" s="6">
        <v>30</v>
      </c>
      <c r="K77" s="6">
        <v>18</v>
      </c>
      <c r="L77" s="3">
        <f t="shared" si="7"/>
        <v>540</v>
      </c>
      <c r="M77" s="6" t="s">
        <v>267</v>
      </c>
    </row>
    <row r="78" spans="1:13" ht="55.8" thickBot="1" x14ac:dyDescent="0.35">
      <c r="A78" s="5" t="s">
        <v>268</v>
      </c>
      <c r="B78" s="4" t="s">
        <v>258</v>
      </c>
      <c r="C78" s="8" t="s">
        <v>259</v>
      </c>
      <c r="D78" s="6" t="s">
        <v>269</v>
      </c>
      <c r="E78" s="6" t="s">
        <v>21</v>
      </c>
      <c r="F78" s="6">
        <v>1</v>
      </c>
      <c r="G78" s="6">
        <v>5</v>
      </c>
      <c r="H78" s="6">
        <v>10</v>
      </c>
      <c r="I78" s="6">
        <v>5</v>
      </c>
      <c r="J78" s="6">
        <v>15</v>
      </c>
      <c r="K78" s="6">
        <v>35</v>
      </c>
      <c r="L78" s="3">
        <f t="shared" si="7"/>
        <v>525</v>
      </c>
      <c r="M78" s="6" t="s">
        <v>270</v>
      </c>
    </row>
    <row r="79" spans="1:13" ht="55.8" thickBot="1" x14ac:dyDescent="0.35">
      <c r="A79" s="5" t="s">
        <v>271</v>
      </c>
      <c r="B79" s="4" t="s">
        <v>258</v>
      </c>
      <c r="C79" s="8" t="s">
        <v>259</v>
      </c>
      <c r="D79" s="6" t="s">
        <v>272</v>
      </c>
      <c r="E79" s="6" t="s">
        <v>21</v>
      </c>
      <c r="F79" s="6">
        <v>1</v>
      </c>
      <c r="G79" s="6">
        <v>6</v>
      </c>
      <c r="H79" s="6">
        <v>10</v>
      </c>
      <c r="I79" s="6">
        <v>10</v>
      </c>
      <c r="J79" s="6">
        <v>30</v>
      </c>
      <c r="K79" s="6">
        <v>55</v>
      </c>
      <c r="L79" s="3">
        <f t="shared" si="7"/>
        <v>1650</v>
      </c>
      <c r="M79" s="6" t="s">
        <v>273</v>
      </c>
    </row>
    <row r="80" spans="1:13" ht="42" thickBot="1" x14ac:dyDescent="0.35">
      <c r="A80" s="5" t="s">
        <v>274</v>
      </c>
      <c r="B80" s="4" t="s">
        <v>258</v>
      </c>
      <c r="C80" s="8" t="s">
        <v>259</v>
      </c>
      <c r="D80" s="6" t="s">
        <v>275</v>
      </c>
      <c r="E80" s="6" t="s">
        <v>21</v>
      </c>
      <c r="F80" s="6" t="s">
        <v>276</v>
      </c>
      <c r="G80" s="6">
        <v>3</v>
      </c>
      <c r="H80" s="6">
        <v>50</v>
      </c>
      <c r="I80" s="6">
        <v>30</v>
      </c>
      <c r="J80" s="6">
        <v>100</v>
      </c>
      <c r="K80" s="6">
        <v>12</v>
      </c>
      <c r="L80" s="3">
        <f t="shared" si="7"/>
        <v>1200</v>
      </c>
      <c r="M80" s="6" t="s">
        <v>277</v>
      </c>
    </row>
    <row r="81" spans="1:13" ht="42" thickBot="1" x14ac:dyDescent="0.35">
      <c r="A81" s="5" t="s">
        <v>278</v>
      </c>
      <c r="B81" s="4" t="s">
        <v>258</v>
      </c>
      <c r="C81" s="8" t="s">
        <v>259</v>
      </c>
      <c r="D81" s="6" t="s">
        <v>279</v>
      </c>
      <c r="E81" s="6" t="s">
        <v>21</v>
      </c>
      <c r="F81" s="6" t="s">
        <v>280</v>
      </c>
      <c r="G81" s="6">
        <v>2</v>
      </c>
      <c r="H81" s="6">
        <v>50</v>
      </c>
      <c r="I81" s="6">
        <v>50</v>
      </c>
      <c r="J81" s="6">
        <v>150</v>
      </c>
      <c r="K81" s="6">
        <v>4.5</v>
      </c>
      <c r="L81" s="3">
        <f t="shared" si="7"/>
        <v>675</v>
      </c>
      <c r="M81" s="6" t="s">
        <v>281</v>
      </c>
    </row>
    <row r="82" spans="1:13" ht="42" thickBot="1" x14ac:dyDescent="0.35">
      <c r="A82" s="5" t="s">
        <v>282</v>
      </c>
      <c r="B82" s="4" t="s">
        <v>258</v>
      </c>
      <c r="C82" s="8" t="s">
        <v>259</v>
      </c>
      <c r="D82" s="6" t="s">
        <v>283</v>
      </c>
      <c r="E82" s="6" t="s">
        <v>21</v>
      </c>
      <c r="F82" s="6" t="s">
        <v>249</v>
      </c>
      <c r="G82" s="6">
        <v>2</v>
      </c>
      <c r="H82" s="6">
        <v>200</v>
      </c>
      <c r="I82" s="6">
        <v>100</v>
      </c>
      <c r="J82" s="6">
        <v>400</v>
      </c>
      <c r="K82" s="6">
        <v>15</v>
      </c>
      <c r="L82" s="3">
        <f t="shared" si="7"/>
        <v>6000</v>
      </c>
      <c r="M82" s="6" t="s">
        <v>284</v>
      </c>
    </row>
    <row r="83" spans="1:13" ht="69.599999999999994" thickBot="1" x14ac:dyDescent="0.35">
      <c r="A83" s="5" t="s">
        <v>285</v>
      </c>
      <c r="B83" s="4" t="s">
        <v>286</v>
      </c>
      <c r="C83" s="8" t="s">
        <v>287</v>
      </c>
      <c r="D83" s="6" t="s">
        <v>288</v>
      </c>
      <c r="E83" s="6" t="s">
        <v>21</v>
      </c>
      <c r="F83" s="6">
        <v>1</v>
      </c>
      <c r="G83" s="6">
        <v>2</v>
      </c>
      <c r="H83" s="6">
        <v>10</v>
      </c>
      <c r="I83" s="6">
        <v>10</v>
      </c>
      <c r="J83" s="6">
        <v>30</v>
      </c>
      <c r="K83" s="6">
        <v>45</v>
      </c>
      <c r="L83" s="3">
        <f>K83*J83</f>
        <v>1350</v>
      </c>
      <c r="M83" s="6" t="s">
        <v>289</v>
      </c>
    </row>
    <row r="84" spans="1:13" ht="42" thickBot="1" x14ac:dyDescent="0.35">
      <c r="A84" s="5" t="s">
        <v>290</v>
      </c>
      <c r="B84" s="4" t="s">
        <v>286</v>
      </c>
      <c r="C84" s="8" t="s">
        <v>287</v>
      </c>
      <c r="D84" s="6" t="s">
        <v>291</v>
      </c>
      <c r="E84" s="6" t="s">
        <v>21</v>
      </c>
      <c r="F84" s="6">
        <v>4</v>
      </c>
      <c r="G84" s="6">
        <v>3</v>
      </c>
      <c r="H84" s="6">
        <v>50</v>
      </c>
      <c r="I84" s="6">
        <v>20</v>
      </c>
      <c r="J84" s="6">
        <v>60</v>
      </c>
      <c r="K84" s="6">
        <v>16</v>
      </c>
      <c r="L84" s="3">
        <f t="shared" ref="L84:L89" si="8">K84*J84</f>
        <v>960</v>
      </c>
      <c r="M84" s="6" t="s">
        <v>292</v>
      </c>
    </row>
    <row r="85" spans="1:13" ht="55.8" thickBot="1" x14ac:dyDescent="0.35">
      <c r="A85" s="5" t="s">
        <v>293</v>
      </c>
      <c r="B85" s="4" t="s">
        <v>286</v>
      </c>
      <c r="C85" s="8" t="s">
        <v>287</v>
      </c>
      <c r="D85" s="6" t="s">
        <v>294</v>
      </c>
      <c r="E85" s="6" t="s">
        <v>21</v>
      </c>
      <c r="F85" s="6">
        <v>1</v>
      </c>
      <c r="G85" s="6">
        <v>2</v>
      </c>
      <c r="H85" s="6">
        <v>50</v>
      </c>
      <c r="I85" s="6">
        <v>20</v>
      </c>
      <c r="J85" s="6">
        <v>50</v>
      </c>
      <c r="K85" s="6">
        <v>22</v>
      </c>
      <c r="L85" s="3">
        <f t="shared" si="8"/>
        <v>1100</v>
      </c>
      <c r="M85" s="6" t="s">
        <v>295</v>
      </c>
    </row>
    <row r="86" spans="1:13" ht="42" thickBot="1" x14ac:dyDescent="0.35">
      <c r="A86" s="5" t="s">
        <v>296</v>
      </c>
      <c r="B86" s="4" t="s">
        <v>286</v>
      </c>
      <c r="C86" s="8" t="s">
        <v>287</v>
      </c>
      <c r="D86" s="6" t="s">
        <v>297</v>
      </c>
      <c r="E86" s="6" t="s">
        <v>21</v>
      </c>
      <c r="F86" s="6" t="s">
        <v>298</v>
      </c>
      <c r="G86" s="6">
        <v>2</v>
      </c>
      <c r="H86" s="6">
        <v>100</v>
      </c>
      <c r="I86" s="6">
        <v>50</v>
      </c>
      <c r="J86" s="6">
        <v>150</v>
      </c>
      <c r="K86" s="6">
        <v>1.5</v>
      </c>
      <c r="L86" s="3">
        <f t="shared" si="8"/>
        <v>225</v>
      </c>
      <c r="M86" s="6" t="s">
        <v>299</v>
      </c>
    </row>
    <row r="87" spans="1:13" ht="28.2" thickBot="1" x14ac:dyDescent="0.35">
      <c r="A87" s="5" t="s">
        <v>300</v>
      </c>
      <c r="B87" s="4" t="s">
        <v>286</v>
      </c>
      <c r="C87" s="8" t="s">
        <v>287</v>
      </c>
      <c r="D87" s="6" t="s">
        <v>301</v>
      </c>
      <c r="E87" s="6" t="s">
        <v>21</v>
      </c>
      <c r="F87" s="6">
        <v>4</v>
      </c>
      <c r="G87" s="6">
        <v>2</v>
      </c>
      <c r="H87" s="6">
        <v>500</v>
      </c>
      <c r="I87" s="6">
        <v>100</v>
      </c>
      <c r="J87" s="6">
        <v>300</v>
      </c>
      <c r="K87" s="6">
        <v>0.4</v>
      </c>
      <c r="L87" s="3">
        <f t="shared" si="8"/>
        <v>120</v>
      </c>
      <c r="M87" s="6" t="s">
        <v>302</v>
      </c>
    </row>
    <row r="88" spans="1:13" ht="55.8" thickBot="1" x14ac:dyDescent="0.35">
      <c r="A88" s="5" t="s">
        <v>303</v>
      </c>
      <c r="B88" s="4" t="s">
        <v>286</v>
      </c>
      <c r="C88" s="8" t="s">
        <v>287</v>
      </c>
      <c r="D88" s="6" t="s">
        <v>304</v>
      </c>
      <c r="E88" s="6" t="s">
        <v>17</v>
      </c>
      <c r="F88" s="6">
        <v>1</v>
      </c>
      <c r="G88" s="6">
        <v>1</v>
      </c>
      <c r="H88" s="6">
        <v>50</v>
      </c>
      <c r="I88" s="6">
        <v>10</v>
      </c>
      <c r="J88" s="6">
        <v>30</v>
      </c>
      <c r="K88" s="6">
        <v>5</v>
      </c>
      <c r="L88" s="3">
        <f t="shared" si="8"/>
        <v>150</v>
      </c>
      <c r="M88" s="6" t="s">
        <v>305</v>
      </c>
    </row>
    <row r="89" spans="1:13" ht="55.8" thickBot="1" x14ac:dyDescent="0.35">
      <c r="A89" s="5" t="s">
        <v>306</v>
      </c>
      <c r="B89" s="4" t="s">
        <v>286</v>
      </c>
      <c r="C89" s="8" t="s">
        <v>287</v>
      </c>
      <c r="D89" s="6" t="s">
        <v>307</v>
      </c>
      <c r="E89" s="6" t="s">
        <v>17</v>
      </c>
      <c r="F89" s="6">
        <v>1</v>
      </c>
      <c r="G89" s="6">
        <v>1</v>
      </c>
      <c r="H89" s="6">
        <v>10</v>
      </c>
      <c r="I89" s="6">
        <v>5</v>
      </c>
      <c r="J89" s="6">
        <v>15</v>
      </c>
      <c r="K89" s="6">
        <v>12</v>
      </c>
      <c r="L89" s="3">
        <f t="shared" si="8"/>
        <v>180</v>
      </c>
      <c r="M89" s="6" t="s">
        <v>308</v>
      </c>
    </row>
  </sheetData>
  <autoFilter ref="A1:M1" xr:uid="{977CF450-1DC5-423B-B97A-E6750FB5A1C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2CF2-F694-40B8-B9E1-7624627ED19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BOM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Rafal</dc:creator>
  <cp:lastModifiedBy>Rafal</cp:lastModifiedBy>
  <dcterms:created xsi:type="dcterms:W3CDTF">2026-09-19T12:22:40Z</dcterms:created>
  <dcterms:modified xsi:type="dcterms:W3CDTF">2026-09-19T12:23:27Z</dcterms:modified>
</cp:coreProperties>
</file>